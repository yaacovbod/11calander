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aco\Documents\my-workspace\probability\"/>
    </mc:Choice>
  </mc:AlternateContent>
  <xr:revisionPtr revIDLastSave="0" documentId="8_{1DDF8CB7-8475-4728-87E3-1B9BB212E9E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הגדרות" sheetId="1" r:id="rId1"/>
    <sheet name="תלמידים" sheetId="2" r:id="rId2"/>
    <sheet name="ציוני_בגרות" sheetId="3" r:id="rId3"/>
    <sheet name="ציוני_תעודה" sheetId="4" r:id="rId4"/>
    <sheet name="דוח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89" i="3" l="1"/>
  <c r="AQ89" i="3"/>
  <c r="AM89" i="3"/>
  <c r="AI89" i="3"/>
  <c r="AE89" i="3"/>
  <c r="AA89" i="3"/>
  <c r="W89" i="3"/>
  <c r="T89" i="3"/>
  <c r="L89" i="3"/>
  <c r="AU88" i="3"/>
  <c r="AQ88" i="3"/>
  <c r="AM88" i="3"/>
  <c r="AI88" i="3"/>
  <c r="AE88" i="3"/>
  <c r="AA88" i="3"/>
  <c r="W88" i="3"/>
  <c r="T88" i="3"/>
  <c r="L88" i="3"/>
  <c r="AU87" i="3"/>
  <c r="AQ87" i="3"/>
  <c r="AM87" i="3"/>
  <c r="AI87" i="3"/>
  <c r="AE87" i="3"/>
  <c r="AA87" i="3"/>
  <c r="W87" i="3"/>
  <c r="T87" i="3"/>
  <c r="L87" i="3"/>
  <c r="AU86" i="3"/>
  <c r="AQ86" i="3"/>
  <c r="AM86" i="3"/>
  <c r="AI86" i="3"/>
  <c r="AE86" i="3"/>
  <c r="AA86" i="3"/>
  <c r="W86" i="3"/>
  <c r="T86" i="3"/>
  <c r="L86" i="3"/>
  <c r="AU85" i="3"/>
  <c r="AQ85" i="3"/>
  <c r="AM85" i="3"/>
  <c r="AI85" i="3"/>
  <c r="AE85" i="3"/>
  <c r="AA85" i="3"/>
  <c r="W85" i="3"/>
  <c r="T85" i="3"/>
  <c r="L85" i="3"/>
  <c r="AU84" i="3"/>
  <c r="AQ84" i="3"/>
  <c r="AM84" i="3"/>
  <c r="AI84" i="3"/>
  <c r="AE84" i="3"/>
  <c r="AA84" i="3"/>
  <c r="W84" i="3"/>
  <c r="T84" i="3"/>
  <c r="L84" i="3"/>
  <c r="AU83" i="3"/>
  <c r="AQ83" i="3"/>
  <c r="AM83" i="3"/>
  <c r="AI83" i="3"/>
  <c r="AE83" i="3"/>
  <c r="AA83" i="3"/>
  <c r="W83" i="3"/>
  <c r="T83" i="3"/>
  <c r="L83" i="3"/>
  <c r="AU82" i="3"/>
  <c r="AQ82" i="3"/>
  <c r="AM82" i="3"/>
  <c r="AI82" i="3"/>
  <c r="AE82" i="3"/>
  <c r="AA82" i="3"/>
  <c r="W82" i="3"/>
  <c r="T82" i="3"/>
  <c r="L82" i="3"/>
  <c r="AU81" i="3"/>
  <c r="AQ81" i="3"/>
  <c r="AM81" i="3"/>
  <c r="AI81" i="3"/>
  <c r="AE81" i="3"/>
  <c r="AA81" i="3"/>
  <c r="W81" i="3"/>
  <c r="T81" i="3"/>
  <c r="L81" i="3"/>
  <c r="AU80" i="3"/>
  <c r="AQ80" i="3"/>
  <c r="AM80" i="3"/>
  <c r="AI80" i="3"/>
  <c r="AE80" i="3"/>
  <c r="AA80" i="3"/>
  <c r="W80" i="3"/>
  <c r="T80" i="3"/>
  <c r="L80" i="3"/>
  <c r="AU79" i="3"/>
  <c r="AQ79" i="3"/>
  <c r="AM79" i="3"/>
  <c r="AI79" i="3"/>
  <c r="AE79" i="3"/>
  <c r="AA79" i="3"/>
  <c r="W79" i="3"/>
  <c r="T79" i="3"/>
  <c r="L79" i="3"/>
  <c r="AU78" i="3"/>
  <c r="AQ78" i="3"/>
  <c r="AM78" i="3"/>
  <c r="AI78" i="3"/>
  <c r="AE78" i="3"/>
  <c r="AA78" i="3"/>
  <c r="W78" i="3"/>
  <c r="T78" i="3"/>
  <c r="L78" i="3"/>
  <c r="AU77" i="3"/>
  <c r="AQ77" i="3"/>
  <c r="AM77" i="3"/>
  <c r="AI77" i="3"/>
  <c r="AE77" i="3"/>
  <c r="AA77" i="3"/>
  <c r="W77" i="3"/>
  <c r="T77" i="3"/>
  <c r="L77" i="3"/>
  <c r="AU76" i="3"/>
  <c r="AQ76" i="3"/>
  <c r="AM76" i="3"/>
  <c r="AI76" i="3"/>
  <c r="AE76" i="3"/>
  <c r="AA76" i="3"/>
  <c r="W76" i="3"/>
  <c r="T76" i="3"/>
  <c r="L76" i="3"/>
  <c r="AU75" i="3"/>
  <c r="AQ75" i="3"/>
  <c r="AM75" i="3"/>
  <c r="AI75" i="3"/>
  <c r="AE75" i="3"/>
  <c r="AA75" i="3"/>
  <c r="W75" i="3"/>
  <c r="T75" i="3"/>
  <c r="L75" i="3"/>
  <c r="AU74" i="3"/>
  <c r="AQ74" i="3"/>
  <c r="AM74" i="3"/>
  <c r="AI74" i="3"/>
  <c r="AE74" i="3"/>
  <c r="AA74" i="3"/>
  <c r="W74" i="3"/>
  <c r="T74" i="3"/>
  <c r="L74" i="3"/>
  <c r="AU73" i="3"/>
  <c r="AQ73" i="3"/>
  <c r="AM73" i="3"/>
  <c r="AI73" i="3"/>
  <c r="AE73" i="3"/>
  <c r="AA73" i="3"/>
  <c r="W73" i="3"/>
  <c r="T73" i="3"/>
  <c r="L73" i="3"/>
  <c r="AU72" i="3"/>
  <c r="AQ72" i="3"/>
  <c r="AM72" i="3"/>
  <c r="AI72" i="3"/>
  <c r="AE72" i="3"/>
  <c r="AA72" i="3"/>
  <c r="W72" i="3"/>
  <c r="T72" i="3"/>
  <c r="L72" i="3"/>
  <c r="AU71" i="3"/>
  <c r="AQ71" i="3"/>
  <c r="AM71" i="3"/>
  <c r="AI71" i="3"/>
  <c r="AE71" i="3"/>
  <c r="AA71" i="3"/>
  <c r="W71" i="3"/>
  <c r="T71" i="3"/>
  <c r="L71" i="3"/>
  <c r="AU70" i="3"/>
  <c r="AQ70" i="3"/>
  <c r="AM70" i="3"/>
  <c r="AI70" i="3"/>
  <c r="AE70" i="3"/>
  <c r="AA70" i="3"/>
  <c r="W70" i="3"/>
  <c r="T70" i="3"/>
  <c r="L70" i="3"/>
  <c r="AU69" i="3"/>
  <c r="AQ69" i="3"/>
  <c r="AM69" i="3"/>
  <c r="AI69" i="3"/>
  <c r="AE69" i="3"/>
  <c r="AA69" i="3"/>
  <c r="W69" i="3"/>
  <c r="T69" i="3"/>
  <c r="L69" i="3"/>
  <c r="AU68" i="3"/>
  <c r="AQ68" i="3"/>
  <c r="AM68" i="3"/>
  <c r="AI68" i="3"/>
  <c r="AE68" i="3"/>
  <c r="AA68" i="3"/>
  <c r="W68" i="3"/>
  <c r="T68" i="3"/>
  <c r="L68" i="3"/>
  <c r="AU67" i="3"/>
  <c r="AQ67" i="3"/>
  <c r="AM67" i="3"/>
  <c r="AI67" i="3"/>
  <c r="AE67" i="3"/>
  <c r="AA67" i="3"/>
  <c r="W67" i="3"/>
  <c r="T67" i="3"/>
  <c r="L67" i="3"/>
  <c r="AU65" i="3"/>
  <c r="AQ65" i="3"/>
  <c r="AM65" i="3"/>
  <c r="AI65" i="3"/>
  <c r="AE65" i="3"/>
  <c r="AA65" i="3"/>
  <c r="W65" i="3"/>
  <c r="T65" i="3"/>
  <c r="L65" i="3"/>
  <c r="AU64" i="3"/>
  <c r="AQ64" i="3"/>
  <c r="AM64" i="3"/>
  <c r="AI64" i="3"/>
  <c r="AE64" i="3"/>
  <c r="AA64" i="3"/>
  <c r="W64" i="3"/>
  <c r="T64" i="3"/>
  <c r="L64" i="3"/>
  <c r="AU63" i="3"/>
  <c r="AQ63" i="3"/>
  <c r="AM63" i="3"/>
  <c r="AI63" i="3"/>
  <c r="AE63" i="3"/>
  <c r="AA63" i="3"/>
  <c r="W63" i="3"/>
  <c r="T63" i="3"/>
  <c r="L63" i="3"/>
  <c r="AU62" i="3"/>
  <c r="AQ62" i="3"/>
  <c r="AM62" i="3"/>
  <c r="AI62" i="3"/>
  <c r="AE62" i="3"/>
  <c r="AA62" i="3"/>
  <c r="W62" i="3"/>
  <c r="T62" i="3"/>
  <c r="L62" i="3"/>
  <c r="AU61" i="3"/>
  <c r="AQ61" i="3"/>
  <c r="AM61" i="3"/>
  <c r="AI61" i="3"/>
  <c r="AE61" i="3"/>
  <c r="AA61" i="3"/>
  <c r="W61" i="3"/>
  <c r="T61" i="3"/>
  <c r="L61" i="3"/>
  <c r="AU60" i="3"/>
  <c r="AQ60" i="3"/>
  <c r="AM60" i="3"/>
  <c r="AI60" i="3"/>
  <c r="AE60" i="3"/>
  <c r="AA60" i="3"/>
  <c r="W60" i="3"/>
  <c r="T60" i="3"/>
  <c r="L60" i="3"/>
  <c r="AU59" i="3"/>
  <c r="AQ59" i="3"/>
  <c r="AM59" i="3"/>
  <c r="AI59" i="3"/>
  <c r="AE59" i="3"/>
  <c r="AA59" i="3"/>
  <c r="W59" i="3"/>
  <c r="T59" i="3"/>
  <c r="L59" i="3"/>
  <c r="AU58" i="3"/>
  <c r="AQ58" i="3"/>
  <c r="AM58" i="3"/>
  <c r="AI58" i="3"/>
  <c r="AE58" i="3"/>
  <c r="AA58" i="3"/>
  <c r="W58" i="3"/>
  <c r="T58" i="3"/>
  <c r="L58" i="3"/>
  <c r="AU57" i="3"/>
  <c r="AQ57" i="3"/>
  <c r="AM57" i="3"/>
  <c r="AI57" i="3"/>
  <c r="AE57" i="3"/>
  <c r="AA57" i="3"/>
  <c r="W57" i="3"/>
  <c r="T57" i="3"/>
  <c r="L57" i="3"/>
  <c r="AU56" i="3"/>
  <c r="AQ56" i="3"/>
  <c r="AM56" i="3"/>
  <c r="AI56" i="3"/>
  <c r="AE56" i="3"/>
  <c r="AA56" i="3"/>
  <c r="W56" i="3"/>
  <c r="T56" i="3"/>
  <c r="L56" i="3"/>
  <c r="AU55" i="3"/>
  <c r="AQ55" i="3"/>
  <c r="AM55" i="3"/>
  <c r="AI55" i="3"/>
  <c r="AE55" i="3"/>
  <c r="AA55" i="3"/>
  <c r="W55" i="3"/>
  <c r="T55" i="3"/>
  <c r="L55" i="3"/>
  <c r="AU54" i="3"/>
  <c r="AQ54" i="3"/>
  <c r="AM54" i="3"/>
  <c r="AI54" i="3"/>
  <c r="AE54" i="3"/>
  <c r="AA54" i="3"/>
  <c r="W54" i="3"/>
  <c r="T54" i="3"/>
  <c r="L54" i="3"/>
  <c r="AU53" i="3"/>
  <c r="AQ53" i="3"/>
  <c r="AM53" i="3"/>
  <c r="AI53" i="3"/>
  <c r="AE53" i="3"/>
  <c r="AA53" i="3"/>
  <c r="W53" i="3"/>
  <c r="T53" i="3"/>
  <c r="L53" i="3"/>
  <c r="AU52" i="3"/>
  <c r="AQ52" i="3"/>
  <c r="AM52" i="3"/>
  <c r="AI52" i="3"/>
  <c r="AE52" i="3"/>
  <c r="AA52" i="3"/>
  <c r="W52" i="3"/>
  <c r="T52" i="3"/>
  <c r="L52" i="3"/>
  <c r="AU51" i="3"/>
  <c r="AQ51" i="3"/>
  <c r="AM51" i="3"/>
  <c r="AI51" i="3"/>
  <c r="AE51" i="3"/>
  <c r="AA51" i="3"/>
  <c r="W51" i="3"/>
  <c r="T51" i="3"/>
  <c r="L51" i="3"/>
  <c r="AU50" i="3"/>
  <c r="AQ50" i="3"/>
  <c r="AM50" i="3"/>
  <c r="AI50" i="3"/>
  <c r="AE50" i="3"/>
  <c r="AA50" i="3"/>
  <c r="W50" i="3"/>
  <c r="T50" i="3"/>
  <c r="L50" i="3"/>
  <c r="AU49" i="3"/>
  <c r="AQ49" i="3"/>
  <c r="AM49" i="3"/>
  <c r="AI49" i="3"/>
  <c r="AE49" i="3"/>
  <c r="AA49" i="3"/>
  <c r="W49" i="3"/>
  <c r="T49" i="3"/>
  <c r="L49" i="3"/>
  <c r="AU48" i="3"/>
  <c r="AQ48" i="3"/>
  <c r="AM48" i="3"/>
  <c r="AI48" i="3"/>
  <c r="AE48" i="3"/>
  <c r="AA48" i="3"/>
  <c r="W48" i="3"/>
  <c r="T48" i="3"/>
  <c r="L48" i="3"/>
  <c r="AU47" i="3"/>
  <c r="AQ47" i="3"/>
  <c r="AM47" i="3"/>
  <c r="AI47" i="3"/>
  <c r="AE47" i="3"/>
  <c r="AA47" i="3"/>
  <c r="W47" i="3"/>
  <c r="T47" i="3"/>
  <c r="L47" i="3"/>
  <c r="AU46" i="3"/>
  <c r="AQ46" i="3"/>
  <c r="AM46" i="3"/>
  <c r="AI46" i="3"/>
  <c r="AE46" i="3"/>
  <c r="AA46" i="3"/>
  <c r="W46" i="3"/>
  <c r="T46" i="3"/>
  <c r="L46" i="3"/>
  <c r="AU45" i="3"/>
  <c r="AQ45" i="3"/>
  <c r="AM45" i="3"/>
  <c r="AI45" i="3"/>
  <c r="AE45" i="3"/>
  <c r="AA45" i="3"/>
  <c r="W45" i="3"/>
  <c r="T45" i="3"/>
  <c r="L45" i="3"/>
  <c r="AU44" i="3"/>
  <c r="AQ44" i="3"/>
  <c r="AM44" i="3"/>
  <c r="AI44" i="3"/>
  <c r="AE44" i="3"/>
  <c r="AA44" i="3"/>
  <c r="W44" i="3"/>
  <c r="T44" i="3"/>
  <c r="L44" i="3"/>
  <c r="AU43" i="3"/>
  <c r="AQ43" i="3"/>
  <c r="AM43" i="3"/>
  <c r="AI43" i="3"/>
  <c r="AE43" i="3"/>
  <c r="AA43" i="3"/>
  <c r="W43" i="3"/>
  <c r="T43" i="3"/>
  <c r="L43" i="3"/>
  <c r="AU42" i="3"/>
  <c r="AQ42" i="3"/>
  <c r="AM42" i="3"/>
  <c r="AI42" i="3"/>
  <c r="AE42" i="3"/>
  <c r="AA42" i="3"/>
  <c r="W42" i="3"/>
  <c r="T42" i="3"/>
  <c r="L42" i="3"/>
  <c r="AU41" i="3"/>
  <c r="AQ41" i="3"/>
  <c r="AM41" i="3"/>
  <c r="AI41" i="3"/>
  <c r="AE41" i="3"/>
  <c r="AA41" i="3"/>
  <c r="W41" i="3"/>
  <c r="T41" i="3"/>
  <c r="L41" i="3"/>
  <c r="AU40" i="3"/>
  <c r="AQ40" i="3"/>
  <c r="AM40" i="3"/>
  <c r="AI40" i="3"/>
  <c r="AE40" i="3"/>
  <c r="AA40" i="3"/>
  <c r="W40" i="3"/>
  <c r="T40" i="3"/>
  <c r="L40" i="3"/>
  <c r="AU39" i="3"/>
  <c r="AQ39" i="3"/>
  <c r="AM39" i="3"/>
  <c r="AI39" i="3"/>
  <c r="AE39" i="3"/>
  <c r="AA39" i="3"/>
  <c r="W39" i="3"/>
  <c r="T39" i="3"/>
  <c r="L39" i="3"/>
  <c r="AU38" i="3"/>
  <c r="AQ38" i="3"/>
  <c r="AM38" i="3"/>
  <c r="AI38" i="3"/>
  <c r="AE38" i="3"/>
  <c r="AA38" i="3"/>
  <c r="W38" i="3"/>
  <c r="T38" i="3"/>
  <c r="L38" i="3"/>
  <c r="AU37" i="3"/>
  <c r="AQ37" i="3"/>
  <c r="AM37" i="3"/>
  <c r="AI37" i="3"/>
  <c r="AE37" i="3"/>
  <c r="AA37" i="3"/>
  <c r="W37" i="3"/>
  <c r="T37" i="3"/>
  <c r="L37" i="3"/>
  <c r="AU36" i="3"/>
  <c r="AQ36" i="3"/>
  <c r="AM36" i="3"/>
  <c r="AI36" i="3"/>
  <c r="AE36" i="3"/>
  <c r="AA36" i="3"/>
  <c r="W36" i="3"/>
  <c r="T36" i="3"/>
  <c r="L36" i="3"/>
  <c r="AU35" i="3"/>
  <c r="AQ35" i="3"/>
  <c r="AM35" i="3"/>
  <c r="AI35" i="3"/>
  <c r="AE35" i="3"/>
  <c r="AA35" i="3"/>
  <c r="W35" i="3"/>
  <c r="T35" i="3"/>
  <c r="L35" i="3"/>
  <c r="AU34" i="3"/>
  <c r="AQ34" i="3"/>
  <c r="AM34" i="3"/>
  <c r="AI34" i="3"/>
  <c r="AE34" i="3"/>
  <c r="AA34" i="3"/>
  <c r="W34" i="3"/>
  <c r="T34" i="3"/>
  <c r="L34" i="3"/>
  <c r="AU33" i="3"/>
  <c r="AQ33" i="3"/>
  <c r="AM33" i="3"/>
  <c r="AI33" i="3"/>
  <c r="AE33" i="3"/>
  <c r="AA33" i="3"/>
  <c r="W33" i="3"/>
  <c r="T33" i="3"/>
  <c r="L33" i="3"/>
  <c r="AU32" i="3"/>
  <c r="AQ32" i="3"/>
  <c r="AM32" i="3"/>
  <c r="AI32" i="3"/>
  <c r="AE32" i="3"/>
  <c r="AA32" i="3"/>
  <c r="W32" i="3"/>
  <c r="T32" i="3"/>
  <c r="L32" i="3"/>
  <c r="AU31" i="3"/>
  <c r="AQ31" i="3"/>
  <c r="AM31" i="3"/>
  <c r="AI31" i="3"/>
  <c r="AE31" i="3"/>
  <c r="AA31" i="3"/>
  <c r="W31" i="3"/>
  <c r="T31" i="3"/>
  <c r="L31" i="3"/>
  <c r="AU30" i="3"/>
  <c r="AQ30" i="3"/>
  <c r="AM30" i="3"/>
  <c r="AI30" i="3"/>
  <c r="AE30" i="3"/>
  <c r="AA30" i="3"/>
  <c r="W30" i="3"/>
  <c r="T30" i="3"/>
  <c r="L30" i="3"/>
  <c r="AU29" i="3"/>
  <c r="AQ29" i="3"/>
  <c r="AM29" i="3"/>
  <c r="AI29" i="3"/>
  <c r="AE29" i="3"/>
  <c r="AA29" i="3"/>
  <c r="W29" i="3"/>
  <c r="T29" i="3"/>
  <c r="L29" i="3"/>
  <c r="AU28" i="3"/>
  <c r="AQ28" i="3"/>
  <c r="AM28" i="3"/>
  <c r="AI28" i="3"/>
  <c r="AE28" i="3"/>
  <c r="AA28" i="3"/>
  <c r="W28" i="3"/>
  <c r="T28" i="3"/>
  <c r="L28" i="3"/>
  <c r="AU27" i="3"/>
  <c r="AQ27" i="3"/>
  <c r="AM27" i="3"/>
  <c r="AI27" i="3"/>
  <c r="AE27" i="3"/>
  <c r="AA27" i="3"/>
  <c r="W27" i="3"/>
  <c r="T27" i="3"/>
  <c r="L27" i="3"/>
  <c r="AU26" i="3"/>
  <c r="AQ26" i="3"/>
  <c r="AM26" i="3"/>
  <c r="AI26" i="3"/>
  <c r="AE26" i="3"/>
  <c r="AA26" i="3"/>
  <c r="W26" i="3"/>
  <c r="T26" i="3"/>
  <c r="L26" i="3"/>
  <c r="AU25" i="3"/>
  <c r="AQ25" i="3"/>
  <c r="AM25" i="3"/>
  <c r="AI25" i="3"/>
  <c r="AE25" i="3"/>
  <c r="AA25" i="3"/>
  <c r="W25" i="3"/>
  <c r="T25" i="3"/>
  <c r="L25" i="3"/>
  <c r="AU24" i="3"/>
  <c r="AQ24" i="3"/>
  <c r="AM24" i="3"/>
  <c r="AI24" i="3"/>
  <c r="AE24" i="3"/>
  <c r="AA24" i="3"/>
  <c r="W24" i="3"/>
  <c r="T24" i="3"/>
  <c r="L24" i="3"/>
  <c r="AU23" i="3"/>
  <c r="AQ23" i="3"/>
  <c r="AM23" i="3"/>
  <c r="AI23" i="3"/>
  <c r="AE23" i="3"/>
  <c r="AA23" i="3"/>
  <c r="W23" i="3"/>
  <c r="T23" i="3"/>
  <c r="L23" i="3"/>
  <c r="AU22" i="3"/>
  <c r="AQ22" i="3"/>
  <c r="AM22" i="3"/>
  <c r="AI22" i="3"/>
  <c r="AE22" i="3"/>
  <c r="AA22" i="3"/>
  <c r="W22" i="3"/>
  <c r="T22" i="3"/>
  <c r="L22" i="3"/>
  <c r="AU21" i="3"/>
  <c r="AQ21" i="3"/>
  <c r="AM21" i="3"/>
  <c r="AI21" i="3"/>
  <c r="AE21" i="3"/>
  <c r="AA21" i="3"/>
  <c r="W21" i="3"/>
  <c r="T21" i="3"/>
  <c r="L21" i="3"/>
  <c r="AU20" i="3"/>
  <c r="AQ20" i="3"/>
  <c r="AM20" i="3"/>
  <c r="AI20" i="3"/>
  <c r="AE20" i="3"/>
  <c r="AA20" i="3"/>
  <c r="W20" i="3"/>
  <c r="T20" i="3"/>
  <c r="L20" i="3"/>
  <c r="AU19" i="3"/>
  <c r="AQ19" i="3"/>
  <c r="AM19" i="3"/>
  <c r="AI19" i="3"/>
  <c r="AE19" i="3"/>
  <c r="AA19" i="3"/>
  <c r="W19" i="3"/>
  <c r="T19" i="3"/>
  <c r="L19" i="3"/>
  <c r="AU18" i="3"/>
  <c r="AQ18" i="3"/>
  <c r="AM18" i="3"/>
  <c r="AI18" i="3"/>
  <c r="AE18" i="3"/>
  <c r="AA18" i="3"/>
  <c r="W18" i="3"/>
  <c r="T18" i="3"/>
  <c r="L18" i="3"/>
  <c r="AU17" i="3"/>
  <c r="AQ17" i="3"/>
  <c r="AM17" i="3"/>
  <c r="AI17" i="3"/>
  <c r="AE17" i="3"/>
  <c r="AA17" i="3"/>
  <c r="W17" i="3"/>
  <c r="T17" i="3"/>
  <c r="L17" i="3"/>
  <c r="AU16" i="3"/>
  <c r="AQ16" i="3"/>
  <c r="AM16" i="3"/>
  <c r="AI16" i="3"/>
  <c r="AE16" i="3"/>
  <c r="AA16" i="3"/>
  <c r="W16" i="3"/>
  <c r="T16" i="3"/>
  <c r="L16" i="3"/>
  <c r="AU15" i="3"/>
  <c r="AQ15" i="3"/>
  <c r="AM15" i="3"/>
  <c r="AI15" i="3"/>
  <c r="AE15" i="3"/>
  <c r="AA15" i="3"/>
  <c r="W15" i="3"/>
  <c r="T15" i="3"/>
  <c r="L15" i="3"/>
  <c r="AU14" i="3"/>
  <c r="AQ14" i="3"/>
  <c r="AM14" i="3"/>
  <c r="AI14" i="3"/>
  <c r="AE14" i="3"/>
  <c r="AA14" i="3"/>
  <c r="W14" i="3"/>
  <c r="T14" i="3"/>
  <c r="L14" i="3"/>
  <c r="AU13" i="3"/>
  <c r="AQ13" i="3"/>
  <c r="AM13" i="3"/>
  <c r="AI13" i="3"/>
  <c r="AE13" i="3"/>
  <c r="AA13" i="3"/>
  <c r="W13" i="3"/>
  <c r="T13" i="3"/>
  <c r="L13" i="3"/>
  <c r="AU12" i="3"/>
  <c r="AQ12" i="3"/>
  <c r="AM12" i="3"/>
  <c r="AI12" i="3"/>
  <c r="AE12" i="3"/>
  <c r="AA12" i="3"/>
  <c r="W12" i="3"/>
  <c r="T12" i="3"/>
  <c r="L12" i="3"/>
  <c r="AU11" i="3"/>
  <c r="AQ11" i="3"/>
  <c r="AM11" i="3"/>
  <c r="AI11" i="3"/>
  <c r="AE11" i="3"/>
  <c r="AA11" i="3"/>
  <c r="W11" i="3"/>
  <c r="T11" i="3"/>
  <c r="L11" i="3"/>
  <c r="AU9" i="3"/>
  <c r="AQ9" i="3"/>
  <c r="AM9" i="3"/>
  <c r="AI9" i="3"/>
  <c r="AE9" i="3"/>
  <c r="AA9" i="3"/>
  <c r="W9" i="3"/>
  <c r="T9" i="3"/>
  <c r="L9" i="3"/>
  <c r="AU8" i="3"/>
  <c r="AQ8" i="3"/>
  <c r="AM8" i="3"/>
  <c r="AI8" i="3"/>
  <c r="AE8" i="3"/>
  <c r="AA8" i="3"/>
  <c r="W8" i="3"/>
  <c r="T8" i="3"/>
  <c r="L8" i="3"/>
  <c r="AU7" i="3"/>
  <c r="AQ7" i="3"/>
  <c r="AM7" i="3"/>
  <c r="AI7" i="3"/>
  <c r="AE7" i="3"/>
  <c r="AA7" i="3"/>
  <c r="W7" i="3"/>
  <c r="T7" i="3"/>
  <c r="L7" i="3"/>
  <c r="AU6" i="3"/>
  <c r="AQ6" i="3"/>
  <c r="AM6" i="3"/>
  <c r="AI6" i="3"/>
  <c r="AE6" i="3"/>
  <c r="AA6" i="3"/>
  <c r="W6" i="3"/>
  <c r="T6" i="3"/>
  <c r="L6" i="3"/>
  <c r="AU5" i="3"/>
  <c r="AQ5" i="3"/>
  <c r="AM5" i="3"/>
  <c r="AI5" i="3"/>
  <c r="AE5" i="3"/>
  <c r="AA5" i="3"/>
  <c r="W5" i="3"/>
  <c r="T5" i="3"/>
  <c r="L5" i="3"/>
  <c r="AU4" i="3"/>
  <c r="AQ4" i="3"/>
  <c r="AM4" i="3"/>
  <c r="AI4" i="3"/>
  <c r="AE4" i="3"/>
  <c r="AA4" i="3"/>
  <c r="W4" i="3"/>
  <c r="T4" i="3"/>
  <c r="L4" i="3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<sst xmlns="http://schemas.openxmlformats.org/spreadsheetml/2006/main" count="1355" uniqueCount="293">
  <si>
    <t>משקלים ראשיים</t>
  </si>
  <si>
    <t>רכיב</t>
  </si>
  <si>
    <t>משקל</t>
  </si>
  <si>
    <t>הסבר</t>
  </si>
  <si>
    <t>ציוני בגרות שנעשו</t>
  </si>
  <si>
    <t>המשקל הגבוה ביותר — תוצאות בחינות ממשרד החינוך</t>
  </si>
  <si>
    <t>ציוני תעודה</t>
  </si>
  <si>
    <t>ממוצע מקצועות ליבה בתעודה</t>
  </si>
  <si>
    <t>רמת מתמטיקה + אנגלית</t>
  </si>
  <si>
    <t>מספר יחידות לימוד</t>
  </si>
  <si>
    <t>נוכחות</t>
  </si>
  <si>
    <t>אחוז נוכחות בשיעורים</t>
  </si>
  <si>
    <t>משקלים תוך רכיב הבגרויות</t>
  </si>
  <si>
    <t>מקצוע</t>
  </si>
  <si>
    <t>לשון</t>
  </si>
  <si>
    <t>הכי קריטי — נכשל = מסכן הכל</t>
  </si>
  <si>
    <t>תנ"ך</t>
  </si>
  <si>
    <t>היסטוריה / אחר</t>
  </si>
  <si>
    <t>ניטרלי אם חסר</t>
  </si>
  <si>
    <t>כללים חשובים</t>
  </si>
  <si>
    <t>כלל</t>
  </si>
  <si>
    <t>ערך</t>
  </si>
  <si>
    <t>לשון — חסר + לא חינ"מ + לא מאוחר</t>
  </si>
  <si>
    <t>לא הוגש בגלל חולשה</t>
  </si>
  <si>
    <t>לשון — חסר + חינ"מ</t>
  </si>
  <si>
    <t>בית הספר יכול להבטיח ציון עובר</t>
  </si>
  <si>
    <t>לשון — חסר + הצטרף מאוחר</t>
  </si>
  <si>
    <t>—</t>
  </si>
  <si>
    <t>ניטרלי</t>
  </si>
  <si>
    <t>תנ"ך/היסטוריה — חסר + חינ"מ</t>
  </si>
  <si>
    <t>ניטרלי (תוכנית מיוחדת)</t>
  </si>
  <si>
    <t>היסטוריה — חסר (כולם)</t>
  </si>
  <si>
    <t>ניטרלי — הוסף 0 ידנית אם לא ניגש</t>
  </si>
  <si>
    <t>ספי רמת סיכון</t>
  </si>
  <si>
    <t>רמה</t>
  </si>
  <si>
    <t>ציון מינימלי</t>
  </si>
  <si>
    <t>צבע</t>
  </si>
  <si>
    <t>גבוה מאוד</t>
  </si>
  <si>
    <t>אדום</t>
  </si>
  <si>
    <t>גבוה</t>
  </si>
  <si>
    <t>כתום</t>
  </si>
  <si>
    <t>בינוני</t>
  </si>
  <si>
    <t>צהוב</t>
  </si>
  <si>
    <t>נמוך</t>
  </si>
  <si>
    <t>ירוק</t>
  </si>
  <si>
    <t>הערכות פנימיות מובטחות</t>
  </si>
  <si>
    <t>ציון מניח</t>
  </si>
  <si>
    <t>הערכה פנימית (כל המקצועות)</t>
  </si>
  <si>
    <t>30% מהציון הסופי</t>
  </si>
  <si>
    <t>מטלות מקוונות (מקצועות הרוח)</t>
  </si>
  <si>
    <t>35% — טרם הוזנו לכולם</t>
  </si>
  <si>
    <t>כלל 50% שכבה</t>
  </si>
  <si>
    <t>אם פחות מ-50% מהשכבה ניגשו למקצוע</t>
  </si>
  <si>
    <t>חסר = ניטרלי לכולם</t>
  </si>
  <si>
    <t>אם 50%+ ניגשו למקצוע</t>
  </si>
  <si>
    <t>חסר = לא ניגש (עונש)</t>
  </si>
  <si>
    <t>חריג: שאלון ראשון מתמטיקה 35173</t>
  </si>
  <si>
    <t>רק לתלמידי 3 יח"ל — לא חל כלל 50%</t>
  </si>
  <si>
    <t>חריג: מגמות (ביולוגיה, מוט"ל, שפות)</t>
  </si>
  <si>
    <t>רק אם כתוב 0 מפורשות = לא ניגש</t>
  </si>
  <si>
    <t>תעודת זהות</t>
  </si>
  <si>
    <t>שם מלא</t>
  </si>
  <si>
    <t>כיתה</t>
  </si>
  <si>
    <t>חינ"מ</t>
  </si>
  <si>
    <t>הצטרף מאוחר (לשון)</t>
  </si>
  <si>
    <t>אחוז היעדרות</t>
  </si>
  <si>
    <t>אחוז נוכחות</t>
  </si>
  <si>
    <t>יח"ל מתמטיקה</t>
  </si>
  <si>
    <t>יח"ל אנגלית</t>
  </si>
  <si>
    <t>הערות</t>
  </si>
  <si>
    <t>218075950</t>
  </si>
  <si>
    <t>אדמוני שלו</t>
  </si>
  <si>
    <t>יא'1</t>
  </si>
  <si>
    <t>לא</t>
  </si>
  <si>
    <t>218071348</t>
  </si>
  <si>
    <t>אהרן אדל</t>
  </si>
  <si>
    <t>218062586</t>
  </si>
  <si>
    <t>איזנקוט ליאן</t>
  </si>
  <si>
    <t>218155570</t>
  </si>
  <si>
    <t>אלחרר דביר</t>
  </si>
  <si>
    <t>327059259</t>
  </si>
  <si>
    <t>ארד יונתן</t>
  </si>
  <si>
    <t>333697498</t>
  </si>
  <si>
    <t>גברילוב ענאל</t>
  </si>
  <si>
    <t>337706980</t>
  </si>
  <si>
    <t>דה לאון טורס שמעון מנחם</t>
  </si>
  <si>
    <t>דזיובה מרק</t>
  </si>
  <si>
    <t>כן</t>
  </si>
  <si>
    <t>333712065</t>
  </si>
  <si>
    <t>טספאי אורין</t>
  </si>
  <si>
    <t>333068609</t>
  </si>
  <si>
    <t>טקלה איתי</t>
  </si>
  <si>
    <t>218504579</t>
  </si>
  <si>
    <t>לוקס סיון</t>
  </si>
  <si>
    <t>218597250</t>
  </si>
  <si>
    <t>מורציאנו לינוי</t>
  </si>
  <si>
    <t>333762920</t>
  </si>
  <si>
    <t>מקטה הודיה</t>
  </si>
  <si>
    <t>333086700</t>
  </si>
  <si>
    <t>נדם דנה</t>
  </si>
  <si>
    <t>333086718</t>
  </si>
  <si>
    <t>נדם עלמה</t>
  </si>
  <si>
    <t>333139582</t>
  </si>
  <si>
    <t>סבג מאי</t>
  </si>
  <si>
    <t>332006857</t>
  </si>
  <si>
    <t>עומסי אור</t>
  </si>
  <si>
    <t>348419466</t>
  </si>
  <si>
    <t>פלוטניקוב פבליה פולינה</t>
  </si>
  <si>
    <t>333069722</t>
  </si>
  <si>
    <t>ארביב יואב</t>
  </si>
  <si>
    <t>יא'2</t>
  </si>
  <si>
    <t>332920156</t>
  </si>
  <si>
    <t>יוחנוב ליאור</t>
  </si>
  <si>
    <t>217978212</t>
  </si>
  <si>
    <t>ניסן אורטל</t>
  </si>
  <si>
    <t>333673523</t>
  </si>
  <si>
    <t>סילס שרית רפאלה</t>
  </si>
  <si>
    <t>333136471</t>
  </si>
  <si>
    <t>פיצחדזה ניקול</t>
  </si>
  <si>
    <t>217998111</t>
  </si>
  <si>
    <t>תורן נועם דמיאן</t>
  </si>
  <si>
    <t>332883990</t>
  </si>
  <si>
    <t>אבו חאלד אסיה</t>
  </si>
  <si>
    <t>יא'4</t>
  </si>
  <si>
    <t>218545978</t>
  </si>
  <si>
    <t>אברה עילי</t>
  </si>
  <si>
    <t>333202471</t>
  </si>
  <si>
    <t>בכר לליה מליסה</t>
  </si>
  <si>
    <t>332883065</t>
  </si>
  <si>
    <t>בן עמי יהונתן</t>
  </si>
  <si>
    <t>333167740</t>
  </si>
  <si>
    <t>גושן מיכאל</t>
  </si>
  <si>
    <t>218124535</t>
  </si>
  <si>
    <t>טגנה אושר-חימנוט</t>
  </si>
  <si>
    <t>334230489</t>
  </si>
  <si>
    <t>טל אייל</t>
  </si>
  <si>
    <t>218578367</t>
  </si>
  <si>
    <t>ישראל נוגה</t>
  </si>
  <si>
    <t>337861850</t>
  </si>
  <si>
    <t>לבטוב ולדיסלב</t>
  </si>
  <si>
    <t>218862167</t>
  </si>
  <si>
    <t>לוי ליאן</t>
  </si>
  <si>
    <t>332992031</t>
  </si>
  <si>
    <t>מזרחי איתי</t>
  </si>
  <si>
    <t>333567329</t>
  </si>
  <si>
    <t>מיכאלי אביגיל</t>
  </si>
  <si>
    <t>333628071</t>
  </si>
  <si>
    <t>מלדה ינון</t>
  </si>
  <si>
    <t>218147452</t>
  </si>
  <si>
    <t>מקונן שירה</t>
  </si>
  <si>
    <t>218724177</t>
  </si>
  <si>
    <t>מתתיהו רומי</t>
  </si>
  <si>
    <t>333212785</t>
  </si>
  <si>
    <t>נגבקר אור</t>
  </si>
  <si>
    <t>333136463</t>
  </si>
  <si>
    <t>פיצחדזה ניקה</t>
  </si>
  <si>
    <t>339739120</t>
  </si>
  <si>
    <t>קורונל טליס מטאו אומר</t>
  </si>
  <si>
    <t>217815885</t>
  </si>
  <si>
    <t>רובינוב אנה</t>
  </si>
  <si>
    <t>327790028</t>
  </si>
  <si>
    <t>אבו פני אדהם</t>
  </si>
  <si>
    <t>יא'5</t>
  </si>
  <si>
    <t>218413235</t>
  </si>
  <si>
    <t>אדרי יוסף חיים</t>
  </si>
  <si>
    <t>331828137</t>
  </si>
  <si>
    <t>אהרון נהוראי מאיר</t>
  </si>
  <si>
    <t>333022994</t>
  </si>
  <si>
    <t>אמברבר מעיין</t>
  </si>
  <si>
    <t>217817220</t>
  </si>
  <si>
    <t>ביטאו עילאי</t>
  </si>
  <si>
    <t>217939529</t>
  </si>
  <si>
    <t>בן זיקרי ינון</t>
  </si>
  <si>
    <t>333620128</t>
  </si>
  <si>
    <t>בן יוסף נועה</t>
  </si>
  <si>
    <t>333295343</t>
  </si>
  <si>
    <t>גואיטה אגם</t>
  </si>
  <si>
    <t>218778124</t>
  </si>
  <si>
    <t>הופס מי-דן דאר</t>
  </si>
  <si>
    <t>333171304</t>
  </si>
  <si>
    <t>טל-אור ליה</t>
  </si>
  <si>
    <t>333760544</t>
  </si>
  <si>
    <t>כהן אפק</t>
  </si>
  <si>
    <t>312399801</t>
  </si>
  <si>
    <t>כהן נופר</t>
  </si>
  <si>
    <t>332540202</t>
  </si>
  <si>
    <t>לרדו אגתה</t>
  </si>
  <si>
    <t>333169514</t>
  </si>
  <si>
    <t>מלכה רפאל שלום</t>
  </si>
  <si>
    <t>332893213</t>
  </si>
  <si>
    <t>מעטי אוריה</t>
  </si>
  <si>
    <t>333139574</t>
  </si>
  <si>
    <t>סבג רומי אור</t>
  </si>
  <si>
    <t>סויסה אלין</t>
  </si>
  <si>
    <t>הצטרף/ה מאוחר — לא ניגש/ה ללשון</t>
  </si>
  <si>
    <t>סרסור יסמינה</t>
  </si>
  <si>
    <t>217425321</t>
  </si>
  <si>
    <t>צריקר נועם</t>
  </si>
  <si>
    <t>קונטררס קריא אילנה ולנטינה</t>
  </si>
  <si>
    <t>333183259</t>
  </si>
  <si>
    <t>רוי אמיליה</t>
  </si>
  <si>
    <t>333060366</t>
  </si>
  <si>
    <t>שטר אפרת דבורה</t>
  </si>
  <si>
    <t>217807361</t>
  </si>
  <si>
    <t>בן עטר ארד</t>
  </si>
  <si>
    <t>יא'6</t>
  </si>
  <si>
    <t>333693950</t>
  </si>
  <si>
    <t>בן-יצחק יובל</t>
  </si>
  <si>
    <t>218068807</t>
  </si>
  <si>
    <t>גבאי שגב</t>
  </si>
  <si>
    <t>218773927</t>
  </si>
  <si>
    <t>גולדנברג שי-אל פריידה</t>
  </si>
  <si>
    <t>218914430</t>
  </si>
  <si>
    <t>דורי אלה</t>
  </si>
  <si>
    <t>217885219</t>
  </si>
  <si>
    <t>דקל טומי</t>
  </si>
  <si>
    <t>334125614</t>
  </si>
  <si>
    <t>וקנין הלל</t>
  </si>
  <si>
    <t>218143352</t>
  </si>
  <si>
    <t>וקנין ינון אליה</t>
  </si>
  <si>
    <t>333591568</t>
  </si>
  <si>
    <t>יעקבי אלה</t>
  </si>
  <si>
    <t>333689735</t>
  </si>
  <si>
    <t>יצחקי תהל</t>
  </si>
  <si>
    <t>218533115</t>
  </si>
  <si>
    <t>כהן ליעד</t>
  </si>
  <si>
    <t>לזרוביץ ביטו דור</t>
  </si>
  <si>
    <t>218865681</t>
  </si>
  <si>
    <t>משין מישל</t>
  </si>
  <si>
    <t>333615045</t>
  </si>
  <si>
    <t>סבאג יהלי אליס</t>
  </si>
  <si>
    <t>337761845</t>
  </si>
  <si>
    <t>סבוסקין ורוניקה</t>
  </si>
  <si>
    <t>217869049</t>
  </si>
  <si>
    <t>קגן מאריאל</t>
  </si>
  <si>
    <t>332145028</t>
  </si>
  <si>
    <t>קולט מאי</t>
  </si>
  <si>
    <t>218673648</t>
  </si>
  <si>
    <t>רביד יואב</t>
  </si>
  <si>
    <t>פרטי תלמיד</t>
  </si>
  <si>
    <t>מתמטיקה</t>
  </si>
  <si>
    <t>לשון 11281</t>
  </si>
  <si>
    <t>היסטוריה</t>
  </si>
  <si>
    <t>אזרחות</t>
  </si>
  <si>
    <t>ספרות</t>
  </si>
  <si>
    <t>אנגלית</t>
  </si>
  <si>
    <t>מגמות</t>
  </si>
  <si>
    <t>35173
25%</t>
  </si>
  <si>
    <t>35371
35%</t>
  </si>
  <si>
    <t>35372
40%</t>
  </si>
  <si>
    <t>35471
65%</t>
  </si>
  <si>
    <t>35472
35%</t>
  </si>
  <si>
    <t>35571
60%</t>
  </si>
  <si>
    <t>35572
40%</t>
  </si>
  <si>
    <t>מתמטיקה
סופי</t>
  </si>
  <si>
    <t>חיצוני
70%</t>
  </si>
  <si>
    <t>ב"ס
30%</t>
  </si>
  <si>
    <t>לשון
סופי</t>
  </si>
  <si>
    <t>מבוקרות
35%</t>
  </si>
  <si>
    <t>חיצוני
35%</t>
  </si>
  <si>
    <t>היסטוריה
סופי</t>
  </si>
  <si>
    <t>תנ"ך
סופי</t>
  </si>
  <si>
    <t>אזרחות
סופי</t>
  </si>
  <si>
    <t>ספרות
סופי</t>
  </si>
  <si>
    <t>שאלון A
27%</t>
  </si>
  <si>
    <t>שאלון B
26%</t>
  </si>
  <si>
    <t>שאלון C
27%</t>
  </si>
  <si>
    <t>שאלון D
26%</t>
  </si>
  <si>
    <t>שאלון E
27%</t>
  </si>
  <si>
    <t>שאלון F
26%</t>
  </si>
  <si>
    <t>שאלון G
27%</t>
  </si>
  <si>
    <t>Boost
20%</t>
  </si>
  <si>
    <t>אנגלית
סופי</t>
  </si>
  <si>
    <t>ביולוגיה
סופי</t>
  </si>
  <si>
    <t>מוט"ל
סופי</t>
  </si>
  <si>
    <t>שפות
סופי</t>
  </si>
  <si>
    <t>מגמה אחרת
סופי</t>
  </si>
  <si>
    <t>מגמה
שם</t>
  </si>
  <si>
    <t>תנ''ך</t>
  </si>
  <si>
    <t>חינוך גופני</t>
  </si>
  <si>
    <t>ממוצע ליבה</t>
  </si>
  <si>
    <t>נוכחות %</t>
  </si>
  <si>
    <t>סיכוי בגרות</t>
  </si>
  <si>
    <t>רמת סיכון</t>
  </si>
  <si>
    <t>★</t>
  </si>
  <si>
    <t>גג'יחנוב שבקט</t>
  </si>
  <si>
    <t>דה לאון שמעון</t>
  </si>
  <si>
    <t>קלימוביץ' קירה</t>
  </si>
  <si>
    <t>קונצביץ' לב</t>
  </si>
  <si>
    <t>יורביץ' מרק</t>
  </si>
  <si>
    <t>לרדון אגתה</t>
  </si>
  <si>
    <t>קונטררס קריא אילנה ולנטינ</t>
  </si>
  <si>
    <t>שטר אפרת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</si>
</sst>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ABC978"/>
        <bgColor rgb="FFABC978"/>
      </patternFill>
    </fill>
    <fill>
      <patternFill patternType="solid">
        <fgColor rgb="FF73C084"/>
        <bgColor rgb="FF73C084"/>
      </patternFill>
    </fill>
    <fill>
      <patternFill patternType="solid">
        <fgColor rgb="FFFFD666"/>
        <bgColor rgb="FFFFD666"/>
      </patternFill>
    </fill>
    <fill>
      <patternFill patternType="solid">
        <fgColor rgb="FFFAC469"/>
        <bgColor rgb="FFFAC469"/>
      </patternFill>
    </fill>
    <fill>
      <patternFill patternType="solid">
        <fgColor rgb="FF90C57D"/>
        <bgColor rgb="FF90C57D"/>
      </patternFill>
    </fill>
    <fill>
      <patternFill patternType="solid">
        <fgColor rgb="FFC8CE71"/>
        <bgColor rgb="FFC8CE71"/>
      </patternFill>
    </fill>
    <fill>
      <patternFill patternType="solid">
        <fgColor rgb="FF57BB8A"/>
        <bgColor rgb="FF57BB8A"/>
      </patternFill>
    </fill>
    <fill>
      <patternFill patternType="solid">
        <fgColor rgb="FFFDCF67"/>
        <bgColor rgb="FFFDCF67"/>
      </patternFill>
    </fill>
    <fill>
      <patternFill patternType="solid">
        <fgColor rgb="FFFBC968"/>
        <bgColor rgb="FFFBC968"/>
      </patternFill>
    </fill>
    <fill>
      <patternFill patternType="solid">
        <fgColor rgb="FF7FC281"/>
        <bgColor rgb="FF7FC281"/>
      </patternFill>
    </fill>
    <fill>
      <patternFill patternType="solid">
        <fgColor rgb="FFE3D26C"/>
        <bgColor rgb="FFE3D26C"/>
      </patternFill>
    </fill>
    <fill>
      <patternFill patternType="solid">
        <fgColor rgb="FFA0C77A"/>
        <bgColor rgb="FFA0C77A"/>
      </patternFill>
    </fill>
    <fill>
      <patternFill patternType="solid">
        <fgColor rgb="FFA6C879"/>
        <bgColor rgb="FFA6C879"/>
      </patternFill>
    </fill>
    <fill>
      <patternFill patternType="solid">
        <fgColor rgb="FFD8D06E"/>
        <bgColor rgb="FFD8D06E"/>
      </patternFill>
    </fill>
    <fill>
      <patternFill patternType="solid">
        <fgColor rgb="FFBCCC74"/>
        <bgColor rgb="FFBCCC74"/>
      </patternFill>
    </fill>
    <fill>
      <patternFill patternType="solid">
        <fgColor rgb="FFFAC569"/>
        <bgColor rgb="FFFAC569"/>
      </patternFill>
    </fill>
    <fill>
      <patternFill patternType="solid">
        <fgColor rgb="FF84C380"/>
        <bgColor rgb="FF84C380"/>
      </patternFill>
    </fill>
    <fill>
      <patternFill patternType="solid">
        <fgColor rgb="FF63BD87"/>
        <bgColor rgb="FF63BD87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right" vertical="top" readingOrder="2"/>
    </xf>
    <xf numFmtId="0" fontId="5" fillId="0" borderId="5" xfId="0" applyFont="1" applyBorder="1" applyAlignment="1">
      <alignment horizontal="center" vertical="top" readingOrder="2"/>
    </xf>
    <xf numFmtId="0" fontId="6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 wrapText="1" readingOrder="2"/>
    </xf>
    <xf numFmtId="0" fontId="7" fillId="0" borderId="5" xfId="0" applyFont="1" applyBorder="1" applyAlignment="1">
      <alignment horizontal="center" vertical="center" wrapText="1" readingOrder="2"/>
    </xf>
    <xf numFmtId="0" fontId="8" fillId="0" borderId="5" xfId="0" applyFont="1" applyBorder="1" applyAlignment="1">
      <alignment horizontal="center" vertical="center" wrapText="1" readingOrder="2"/>
    </xf>
    <xf numFmtId="164" fontId="9" fillId="0" borderId="5" xfId="0" applyNumberFormat="1" applyFont="1" applyBorder="1" applyAlignment="1">
      <alignment horizontal="center" vertical="center" wrapText="1" readingOrder="2"/>
    </xf>
    <xf numFmtId="0" fontId="5" fillId="11" borderId="5" xfId="0" applyFont="1" applyFill="1" applyBorder="1" applyAlignment="1">
      <alignment horizontal="center" vertical="center" wrapText="1" readingOrder="2"/>
    </xf>
    <xf numFmtId="1" fontId="9" fillId="0" borderId="5" xfId="0" applyNumberFormat="1" applyFont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8" fillId="0" borderId="10" xfId="0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164" fontId="9" fillId="0" borderId="10" xfId="0" applyNumberFormat="1" applyFont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center" vertical="center" wrapText="1" readingOrder="2"/>
    </xf>
    <xf numFmtId="0" fontId="5" fillId="12" borderId="5" xfId="0" applyFont="1" applyFill="1" applyBorder="1" applyAlignment="1">
      <alignment horizontal="center" vertical="center" wrapText="1" readingOrder="2"/>
    </xf>
    <xf numFmtId="0" fontId="5" fillId="13" borderId="6" xfId="0" applyFont="1" applyFill="1" applyBorder="1" applyAlignment="1">
      <alignment horizontal="center" vertical="center" wrapText="1" readingOrder="2"/>
    </xf>
    <xf numFmtId="1" fontId="9" fillId="0" borderId="10" xfId="0" applyNumberFormat="1" applyFont="1" applyBorder="1" applyAlignment="1">
      <alignment horizontal="center" vertical="center" wrapText="1" readingOrder="2"/>
    </xf>
    <xf numFmtId="0" fontId="7" fillId="0" borderId="10" xfId="0" applyFont="1" applyBorder="1" applyAlignment="1">
      <alignment horizontal="center" vertical="center" wrapText="1" readingOrder="2"/>
    </xf>
    <xf numFmtId="0" fontId="5" fillId="14" borderId="5" xfId="0" applyFont="1" applyFill="1" applyBorder="1" applyAlignment="1">
      <alignment horizontal="center" vertical="center" wrapText="1" readingOrder="2"/>
    </xf>
    <xf numFmtId="0" fontId="5" fillId="13" borderId="5" xfId="0" applyFont="1" applyFill="1" applyBorder="1" applyAlignment="1">
      <alignment horizontal="center" vertical="center" wrapText="1" readingOrder="2"/>
    </xf>
    <xf numFmtId="0" fontId="5" fillId="15" borderId="5" xfId="0" applyFont="1" applyFill="1" applyBorder="1" applyAlignment="1">
      <alignment horizontal="center" vertical="center" wrapText="1" readingOrder="2"/>
    </xf>
    <xf numFmtId="0" fontId="5" fillId="16" borderId="5" xfId="0" applyFont="1" applyFill="1" applyBorder="1" applyAlignment="1">
      <alignment horizontal="center" vertical="center" wrapText="1" readingOrder="2"/>
    </xf>
    <xf numFmtId="0" fontId="5" fillId="17" borderId="5" xfId="0" applyFont="1" applyFill="1" applyBorder="1" applyAlignment="1">
      <alignment horizontal="center" vertical="center" wrapText="1" readingOrder="2"/>
    </xf>
    <xf numFmtId="0" fontId="5" fillId="18" borderId="5" xfId="0" applyFont="1" applyFill="1" applyBorder="1" applyAlignment="1">
      <alignment horizontal="center" vertical="center" wrapText="1" readingOrder="2"/>
    </xf>
    <xf numFmtId="0" fontId="5" fillId="19" borderId="5" xfId="0" applyFont="1" applyFill="1" applyBorder="1" applyAlignment="1">
      <alignment horizontal="center" vertical="center" wrapText="1" readingOrder="2"/>
    </xf>
    <xf numFmtId="0" fontId="5" fillId="20" borderId="5" xfId="0" applyFont="1" applyFill="1" applyBorder="1" applyAlignment="1">
      <alignment horizontal="center" vertical="center" wrapText="1" readingOrder="2"/>
    </xf>
    <xf numFmtId="0" fontId="5" fillId="0" borderId="5" xfId="0" applyFont="1" applyBorder="1" applyAlignment="1">
      <alignment horizontal="right" vertical="top"/>
    </xf>
    <xf numFmtId="0" fontId="5" fillId="0" borderId="5" xfId="0" applyFont="1" applyBorder="1" applyAlignment="1">
      <alignment vertical="top"/>
    </xf>
    <xf numFmtId="0" fontId="5" fillId="21" borderId="5" xfId="0" applyFont="1" applyFill="1" applyBorder="1" applyAlignment="1">
      <alignment horizontal="center" vertical="center" wrapText="1" readingOrder="2"/>
    </xf>
    <xf numFmtId="0" fontId="5" fillId="22" borderId="5" xfId="0" applyFont="1" applyFill="1" applyBorder="1" applyAlignment="1">
      <alignment horizontal="center" vertical="center" wrapText="1" readingOrder="2"/>
    </xf>
    <xf numFmtId="0" fontId="5" fillId="23" borderId="5" xfId="0" applyFont="1" applyFill="1" applyBorder="1" applyAlignment="1">
      <alignment horizontal="center" vertical="center" wrapText="1" readingOrder="2"/>
    </xf>
    <xf numFmtId="0" fontId="5" fillId="24" borderId="5" xfId="0" applyFont="1" applyFill="1" applyBorder="1" applyAlignment="1">
      <alignment horizontal="center" vertical="center" wrapText="1" readingOrder="2"/>
    </xf>
    <xf numFmtId="0" fontId="5" fillId="25" borderId="5" xfId="0" applyFont="1" applyFill="1" applyBorder="1" applyAlignment="1">
      <alignment horizontal="center" vertical="center" wrapText="1" readingOrder="2"/>
    </xf>
    <xf numFmtId="0" fontId="5" fillId="26" borderId="5" xfId="0" applyFont="1" applyFill="1" applyBorder="1" applyAlignment="1">
      <alignment horizontal="center" vertical="center" wrapText="1" readingOrder="2"/>
    </xf>
    <xf numFmtId="0" fontId="5" fillId="27" borderId="5" xfId="0" applyFont="1" applyFill="1" applyBorder="1" applyAlignment="1">
      <alignment horizontal="center" vertical="center" wrapText="1" readingOrder="2"/>
    </xf>
    <xf numFmtId="0" fontId="5" fillId="28" borderId="5" xfId="0" applyFont="1" applyFill="1" applyBorder="1" applyAlignment="1">
      <alignment horizontal="center" vertical="center" wrapText="1" readingOrder="2"/>
    </xf>
    <xf numFmtId="0" fontId="5" fillId="29" borderId="5" xfId="0" applyFont="1" applyFill="1" applyBorder="1" applyAlignment="1">
      <alignment horizontal="center" vertical="center" wrapText="1" readingOrder="2"/>
    </xf>
    <xf numFmtId="0" fontId="6" fillId="0" borderId="11" xfId="0" applyFont="1" applyBorder="1" applyAlignment="1">
      <alignment horizontal="right" wrapText="1"/>
    </xf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rightToLeft="1" workbookViewId="0"/>
  </sheetViews>
  <sheetFormatPr defaultRowHeight="13.8" x14ac:dyDescent="0.25"/>
  <cols>
    <col min="1" max="1" width="42" customWidth="1"/>
    <col min="2" max="2" width="14" customWidth="1"/>
    <col min="3" max="3" width="3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4">
        <v>0.55000000000000004</v>
      </c>
      <c r="C3" s="3" t="s">
        <v>5</v>
      </c>
    </row>
    <row r="4" spans="1:3" x14ac:dyDescent="0.25">
      <c r="A4" s="3" t="s">
        <v>6</v>
      </c>
      <c r="B4" s="4">
        <v>0.15</v>
      </c>
      <c r="C4" s="3" t="s">
        <v>7</v>
      </c>
    </row>
    <row r="5" spans="1:3" x14ac:dyDescent="0.25">
      <c r="A5" s="3" t="s">
        <v>8</v>
      </c>
      <c r="B5" s="4">
        <v>0.1</v>
      </c>
      <c r="C5" s="3" t="s">
        <v>9</v>
      </c>
    </row>
    <row r="6" spans="1:3" x14ac:dyDescent="0.25">
      <c r="A6" s="3" t="s">
        <v>10</v>
      </c>
      <c r="B6" s="4">
        <v>0.2</v>
      </c>
      <c r="C6" s="3" t="s">
        <v>11</v>
      </c>
    </row>
    <row r="7" spans="1:3" x14ac:dyDescent="0.25">
      <c r="A7" s="3"/>
      <c r="B7" s="3"/>
      <c r="C7" s="3"/>
    </row>
    <row r="8" spans="1:3" x14ac:dyDescent="0.25">
      <c r="A8" s="1" t="s">
        <v>12</v>
      </c>
      <c r="B8" s="1"/>
      <c r="C8" s="1"/>
    </row>
    <row r="9" spans="1:3" x14ac:dyDescent="0.25">
      <c r="A9" s="2" t="s">
        <v>13</v>
      </c>
      <c r="B9" s="2" t="s">
        <v>2</v>
      </c>
      <c r="C9" s="2" t="s">
        <v>3</v>
      </c>
    </row>
    <row r="10" spans="1:3" x14ac:dyDescent="0.25">
      <c r="A10" s="3" t="s">
        <v>14</v>
      </c>
      <c r="B10" s="4">
        <v>0.5</v>
      </c>
      <c r="C10" s="3" t="s">
        <v>15</v>
      </c>
    </row>
    <row r="11" spans="1:3" x14ac:dyDescent="0.25">
      <c r="A11" s="3" t="s">
        <v>16</v>
      </c>
      <c r="B11" s="4">
        <v>0.3</v>
      </c>
      <c r="C11" s="3"/>
    </row>
    <row r="12" spans="1:3" x14ac:dyDescent="0.25">
      <c r="A12" s="3" t="s">
        <v>17</v>
      </c>
      <c r="B12" s="4">
        <v>0.2</v>
      </c>
      <c r="C12" s="3" t="s">
        <v>18</v>
      </c>
    </row>
    <row r="13" spans="1:3" x14ac:dyDescent="0.25">
      <c r="A13" s="3"/>
      <c r="B13" s="3"/>
      <c r="C13" s="3"/>
    </row>
    <row r="14" spans="1:3" x14ac:dyDescent="0.25">
      <c r="A14" s="1" t="s">
        <v>19</v>
      </c>
      <c r="B14" s="1"/>
      <c r="C14" s="1"/>
    </row>
    <row r="15" spans="1:3" x14ac:dyDescent="0.25">
      <c r="A15" s="2" t="s">
        <v>20</v>
      </c>
      <c r="B15" s="2" t="s">
        <v>21</v>
      </c>
      <c r="C15" s="2" t="s">
        <v>3</v>
      </c>
    </row>
    <row r="16" spans="1:3" x14ac:dyDescent="0.25">
      <c r="A16" s="3" t="s">
        <v>22</v>
      </c>
      <c r="B16" s="4">
        <v>0</v>
      </c>
      <c r="C16" s="3" t="s">
        <v>23</v>
      </c>
    </row>
    <row r="17" spans="1:3" x14ac:dyDescent="0.25">
      <c r="A17" s="3" t="s">
        <v>24</v>
      </c>
      <c r="B17" s="4">
        <v>80</v>
      </c>
      <c r="C17" s="3" t="s">
        <v>25</v>
      </c>
    </row>
    <row r="18" spans="1:3" x14ac:dyDescent="0.25">
      <c r="A18" s="3" t="s">
        <v>26</v>
      </c>
      <c r="B18" s="3" t="s">
        <v>27</v>
      </c>
      <c r="C18" s="3" t="s">
        <v>28</v>
      </c>
    </row>
    <row r="19" spans="1:3" x14ac:dyDescent="0.25">
      <c r="A19" s="3" t="s">
        <v>29</v>
      </c>
      <c r="B19" s="3" t="s">
        <v>27</v>
      </c>
      <c r="C19" s="3" t="s">
        <v>30</v>
      </c>
    </row>
    <row r="20" spans="1:3" x14ac:dyDescent="0.25">
      <c r="A20" s="3" t="s">
        <v>31</v>
      </c>
      <c r="B20" s="3" t="s">
        <v>27</v>
      </c>
      <c r="C20" s="3" t="s">
        <v>32</v>
      </c>
    </row>
    <row r="21" spans="1:3" x14ac:dyDescent="0.25">
      <c r="A21" s="3"/>
      <c r="B21" s="3"/>
      <c r="C21" s="3"/>
    </row>
    <row r="22" spans="1:3" x14ac:dyDescent="0.25">
      <c r="A22" s="1" t="s">
        <v>33</v>
      </c>
      <c r="B22" s="1"/>
      <c r="C22" s="1"/>
    </row>
    <row r="23" spans="1:3" x14ac:dyDescent="0.25">
      <c r="A23" s="2" t="s">
        <v>34</v>
      </c>
      <c r="B23" s="2" t="s">
        <v>35</v>
      </c>
      <c r="C23" s="2" t="s">
        <v>36</v>
      </c>
    </row>
    <row r="24" spans="1:3" x14ac:dyDescent="0.25">
      <c r="A24" s="3" t="s">
        <v>37</v>
      </c>
      <c r="B24" s="4">
        <v>0</v>
      </c>
      <c r="C24" s="3" t="s">
        <v>38</v>
      </c>
    </row>
    <row r="25" spans="1:3" x14ac:dyDescent="0.25">
      <c r="A25" s="3" t="s">
        <v>39</v>
      </c>
      <c r="B25" s="4">
        <v>45</v>
      </c>
      <c r="C25" s="3" t="s">
        <v>40</v>
      </c>
    </row>
    <row r="26" spans="1:3" x14ac:dyDescent="0.25">
      <c r="A26" s="3" t="s">
        <v>41</v>
      </c>
      <c r="B26" s="4">
        <v>65</v>
      </c>
      <c r="C26" s="3" t="s">
        <v>42</v>
      </c>
    </row>
    <row r="27" spans="1:3" x14ac:dyDescent="0.25">
      <c r="A27" s="3" t="s">
        <v>43</v>
      </c>
      <c r="B27" s="4">
        <v>80</v>
      </c>
      <c r="C27" s="3" t="s">
        <v>44</v>
      </c>
    </row>
    <row r="28" spans="1:3" x14ac:dyDescent="0.25">
      <c r="A28" s="3"/>
      <c r="B28" s="3"/>
      <c r="C28" s="3"/>
    </row>
    <row r="29" spans="1:3" x14ac:dyDescent="0.25">
      <c r="A29" s="1" t="s">
        <v>45</v>
      </c>
      <c r="B29" s="1"/>
      <c r="C29" s="1"/>
    </row>
    <row r="30" spans="1:3" x14ac:dyDescent="0.25">
      <c r="A30" s="2" t="s">
        <v>1</v>
      </c>
      <c r="B30" s="2" t="s">
        <v>46</v>
      </c>
      <c r="C30" s="2" t="s">
        <v>3</v>
      </c>
    </row>
    <row r="31" spans="1:3" x14ac:dyDescent="0.25">
      <c r="A31" s="3" t="s">
        <v>47</v>
      </c>
      <c r="B31" s="4">
        <v>85</v>
      </c>
      <c r="C31" s="3" t="s">
        <v>48</v>
      </c>
    </row>
    <row r="32" spans="1:3" x14ac:dyDescent="0.25">
      <c r="A32" s="3" t="s">
        <v>49</v>
      </c>
      <c r="B32" s="4">
        <v>70</v>
      </c>
      <c r="C32" s="3" t="s">
        <v>50</v>
      </c>
    </row>
    <row r="33" spans="1:3" x14ac:dyDescent="0.25">
      <c r="A33" s="3"/>
      <c r="B33" s="3"/>
      <c r="C33" s="3"/>
    </row>
    <row r="34" spans="1:3" x14ac:dyDescent="0.25">
      <c r="A34" s="1" t="s">
        <v>51</v>
      </c>
      <c r="B34" s="1"/>
      <c r="C34" s="1"/>
    </row>
    <row r="35" spans="1:3" x14ac:dyDescent="0.25">
      <c r="A35" s="3" t="s">
        <v>52</v>
      </c>
      <c r="B35" s="3" t="s">
        <v>27</v>
      </c>
      <c r="C35" s="3" t="s">
        <v>53</v>
      </c>
    </row>
    <row r="36" spans="1:3" x14ac:dyDescent="0.25">
      <c r="A36" s="3" t="s">
        <v>54</v>
      </c>
      <c r="B36" s="4">
        <v>0</v>
      </c>
      <c r="C36" s="3" t="s">
        <v>55</v>
      </c>
    </row>
    <row r="37" spans="1:3" x14ac:dyDescent="0.25">
      <c r="A37" s="3" t="s">
        <v>56</v>
      </c>
      <c r="B37" s="3" t="s">
        <v>27</v>
      </c>
      <c r="C37" s="3" t="s">
        <v>57</v>
      </c>
    </row>
    <row r="38" spans="1:3" x14ac:dyDescent="0.25">
      <c r="A38" s="3" t="s">
        <v>58</v>
      </c>
      <c r="B38" s="4">
        <v>0</v>
      </c>
      <c r="C38" s="3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rightToLeft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3" customWidth="1"/>
    <col min="2" max="2" width="28" customWidth="1"/>
    <col min="3" max="3" width="7" customWidth="1"/>
    <col min="4" max="4" width="8" customWidth="1"/>
    <col min="5" max="5" width="14" customWidth="1"/>
    <col min="6" max="6" width="13" customWidth="1"/>
    <col min="7" max="7" width="12" customWidth="1"/>
    <col min="8" max="8" width="13" customWidth="1"/>
    <col min="9" max="9" width="12" customWidth="1"/>
    <col min="10" max="10" width="32" customWidth="1"/>
  </cols>
  <sheetData>
    <row r="1" spans="1:10" ht="40.049999999999997" customHeight="1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5" t="s">
        <v>69</v>
      </c>
    </row>
    <row r="2" spans="1:10" x14ac:dyDescent="0.25">
      <c r="A2" s="3" t="s">
        <v>70</v>
      </c>
      <c r="B2" s="6" t="s">
        <v>71</v>
      </c>
      <c r="C2" s="3" t="s">
        <v>72</v>
      </c>
      <c r="D2" s="3" t="s">
        <v>73</v>
      </c>
      <c r="E2" s="3" t="s">
        <v>73</v>
      </c>
      <c r="F2" s="4">
        <v>6</v>
      </c>
      <c r="G2" s="7">
        <f t="shared" ref="G2:G33" si="0">IF(F2="","",100-F2)</f>
        <v>94</v>
      </c>
      <c r="H2" s="4">
        <v>3</v>
      </c>
      <c r="I2" s="4">
        <v>5</v>
      </c>
      <c r="J2" s="3"/>
    </row>
    <row r="3" spans="1:10" x14ac:dyDescent="0.25">
      <c r="A3" s="3" t="s">
        <v>74</v>
      </c>
      <c r="B3" s="6" t="s">
        <v>75</v>
      </c>
      <c r="C3" s="3" t="s">
        <v>72</v>
      </c>
      <c r="D3" s="3" t="s">
        <v>73</v>
      </c>
      <c r="E3" s="3" t="s">
        <v>73</v>
      </c>
      <c r="F3" s="4">
        <v>39</v>
      </c>
      <c r="G3" s="7">
        <f t="shared" si="0"/>
        <v>61</v>
      </c>
      <c r="H3" s="4">
        <v>3</v>
      </c>
      <c r="I3" s="4">
        <v>4</v>
      </c>
      <c r="J3" s="3"/>
    </row>
    <row r="4" spans="1:10" x14ac:dyDescent="0.25">
      <c r="A4" s="3" t="s">
        <v>76</v>
      </c>
      <c r="B4" s="6" t="s">
        <v>77</v>
      </c>
      <c r="C4" s="3" t="s">
        <v>72</v>
      </c>
      <c r="D4" s="3" t="s">
        <v>73</v>
      </c>
      <c r="E4" s="3" t="s">
        <v>73</v>
      </c>
      <c r="F4" s="4">
        <v>48</v>
      </c>
      <c r="G4" s="7">
        <f t="shared" si="0"/>
        <v>52</v>
      </c>
      <c r="H4" s="4">
        <v>3</v>
      </c>
      <c r="I4" s="4">
        <v>4</v>
      </c>
      <c r="J4" s="3"/>
    </row>
    <row r="5" spans="1:10" x14ac:dyDescent="0.25">
      <c r="A5" s="3" t="s">
        <v>78</v>
      </c>
      <c r="B5" s="6" t="s">
        <v>79</v>
      </c>
      <c r="C5" s="3" t="s">
        <v>72</v>
      </c>
      <c r="D5" s="3" t="s">
        <v>73</v>
      </c>
      <c r="E5" s="3" t="s">
        <v>73</v>
      </c>
      <c r="F5" s="4">
        <v>51</v>
      </c>
      <c r="G5" s="7">
        <f t="shared" si="0"/>
        <v>49</v>
      </c>
      <c r="H5" s="4">
        <v>3</v>
      </c>
      <c r="I5" s="4">
        <v>5</v>
      </c>
      <c r="J5" s="3"/>
    </row>
    <row r="6" spans="1:10" x14ac:dyDescent="0.25">
      <c r="A6" s="3" t="s">
        <v>80</v>
      </c>
      <c r="B6" s="6" t="s">
        <v>81</v>
      </c>
      <c r="C6" s="3" t="s">
        <v>72</v>
      </c>
      <c r="D6" s="3" t="s">
        <v>73</v>
      </c>
      <c r="E6" s="3" t="s">
        <v>73</v>
      </c>
      <c r="F6" s="4">
        <v>14</v>
      </c>
      <c r="G6" s="7">
        <f t="shared" si="0"/>
        <v>86</v>
      </c>
      <c r="H6" s="4">
        <v>3</v>
      </c>
      <c r="I6" s="4">
        <v>5</v>
      </c>
      <c r="J6" s="3"/>
    </row>
    <row r="7" spans="1:10" x14ac:dyDescent="0.25">
      <c r="A7" s="3" t="s">
        <v>82</v>
      </c>
      <c r="B7" s="6" t="s">
        <v>83</v>
      </c>
      <c r="C7" s="3" t="s">
        <v>72</v>
      </c>
      <c r="D7" s="3" t="s">
        <v>73</v>
      </c>
      <c r="E7" s="3" t="s">
        <v>73</v>
      </c>
      <c r="F7" s="4">
        <v>41</v>
      </c>
      <c r="G7" s="7">
        <f t="shared" si="0"/>
        <v>59</v>
      </c>
      <c r="H7" s="4">
        <v>3</v>
      </c>
      <c r="I7" s="4">
        <v>4</v>
      </c>
      <c r="J7" s="3"/>
    </row>
    <row r="8" spans="1:10" x14ac:dyDescent="0.25">
      <c r="A8" s="3" t="s">
        <v>84</v>
      </c>
      <c r="B8" s="6" t="s">
        <v>85</v>
      </c>
      <c r="C8" s="3" t="s">
        <v>72</v>
      </c>
      <c r="D8" s="3" t="s">
        <v>73</v>
      </c>
      <c r="E8" s="3" t="s">
        <v>73</v>
      </c>
      <c r="F8" s="4">
        <v>43</v>
      </c>
      <c r="G8" s="7">
        <f t="shared" si="0"/>
        <v>57</v>
      </c>
      <c r="H8" s="4">
        <v>3</v>
      </c>
      <c r="I8" s="4">
        <v>5</v>
      </c>
      <c r="J8" s="3"/>
    </row>
    <row r="9" spans="1:10" x14ac:dyDescent="0.25">
      <c r="A9" s="8"/>
      <c r="B9" s="9" t="s">
        <v>86</v>
      </c>
      <c r="C9" s="8" t="s">
        <v>72</v>
      </c>
      <c r="D9" s="8" t="s">
        <v>87</v>
      </c>
      <c r="E9" s="8" t="s">
        <v>73</v>
      </c>
      <c r="F9" s="4">
        <v>52</v>
      </c>
      <c r="G9" s="7">
        <f t="shared" si="0"/>
        <v>48</v>
      </c>
      <c r="H9" s="4">
        <v>3</v>
      </c>
      <c r="I9" s="4">
        <v>4</v>
      </c>
      <c r="J9" s="8"/>
    </row>
    <row r="10" spans="1:10" x14ac:dyDescent="0.25">
      <c r="A10" s="3" t="s">
        <v>88</v>
      </c>
      <c r="B10" s="6" t="s">
        <v>89</v>
      </c>
      <c r="C10" s="3" t="s">
        <v>72</v>
      </c>
      <c r="D10" s="3" t="s">
        <v>73</v>
      </c>
      <c r="E10" s="3" t="s">
        <v>73</v>
      </c>
      <c r="F10" s="4">
        <v>17</v>
      </c>
      <c r="G10" s="7">
        <f t="shared" si="0"/>
        <v>83</v>
      </c>
      <c r="H10" s="4">
        <v>3</v>
      </c>
      <c r="I10" s="4">
        <v>4</v>
      </c>
      <c r="J10" s="3"/>
    </row>
    <row r="11" spans="1:10" x14ac:dyDescent="0.25">
      <c r="A11" s="3" t="s">
        <v>90</v>
      </c>
      <c r="B11" s="6" t="s">
        <v>91</v>
      </c>
      <c r="C11" s="3" t="s">
        <v>72</v>
      </c>
      <c r="D11" s="3" t="s">
        <v>73</v>
      </c>
      <c r="E11" s="3" t="s">
        <v>73</v>
      </c>
      <c r="F11" s="4">
        <v>41</v>
      </c>
      <c r="G11" s="7">
        <f t="shared" si="0"/>
        <v>59</v>
      </c>
      <c r="H11" s="4">
        <v>3</v>
      </c>
      <c r="I11" s="4">
        <v>4</v>
      </c>
      <c r="J11" s="3"/>
    </row>
    <row r="12" spans="1:10" x14ac:dyDescent="0.25">
      <c r="A12" s="3" t="s">
        <v>92</v>
      </c>
      <c r="B12" s="6" t="s">
        <v>93</v>
      </c>
      <c r="C12" s="3" t="s">
        <v>72</v>
      </c>
      <c r="D12" s="3" t="s">
        <v>73</v>
      </c>
      <c r="E12" s="3" t="s">
        <v>73</v>
      </c>
      <c r="F12" s="4">
        <v>12</v>
      </c>
      <c r="G12" s="7">
        <f t="shared" si="0"/>
        <v>88</v>
      </c>
      <c r="H12" s="4">
        <v>3</v>
      </c>
      <c r="I12" s="4">
        <v>5</v>
      </c>
      <c r="J12" s="3"/>
    </row>
    <row r="13" spans="1:10" x14ac:dyDescent="0.25">
      <c r="A13" s="3" t="s">
        <v>94</v>
      </c>
      <c r="B13" s="6" t="s">
        <v>95</v>
      </c>
      <c r="C13" s="3" t="s">
        <v>72</v>
      </c>
      <c r="D13" s="3" t="s">
        <v>73</v>
      </c>
      <c r="E13" s="3" t="s">
        <v>73</v>
      </c>
      <c r="F13" s="4">
        <v>51</v>
      </c>
      <c r="G13" s="7">
        <f t="shared" si="0"/>
        <v>49</v>
      </c>
      <c r="H13" s="4">
        <v>3</v>
      </c>
      <c r="I13" s="4"/>
      <c r="J13" s="3"/>
    </row>
    <row r="14" spans="1:10" x14ac:dyDescent="0.25">
      <c r="A14" s="3" t="s">
        <v>96</v>
      </c>
      <c r="B14" s="6" t="s">
        <v>97</v>
      </c>
      <c r="C14" s="3" t="s">
        <v>72</v>
      </c>
      <c r="D14" s="3" t="s">
        <v>73</v>
      </c>
      <c r="E14" s="3" t="s">
        <v>73</v>
      </c>
      <c r="F14" s="4">
        <v>34</v>
      </c>
      <c r="G14" s="7">
        <f t="shared" si="0"/>
        <v>66</v>
      </c>
      <c r="H14" s="4">
        <v>3</v>
      </c>
      <c r="I14" s="4">
        <v>5</v>
      </c>
      <c r="J14" s="3"/>
    </row>
    <row r="15" spans="1:10" x14ac:dyDescent="0.25">
      <c r="A15" s="3" t="s">
        <v>98</v>
      </c>
      <c r="B15" s="6" t="s">
        <v>99</v>
      </c>
      <c r="C15" s="3" t="s">
        <v>72</v>
      </c>
      <c r="D15" s="3" t="s">
        <v>73</v>
      </c>
      <c r="E15" s="3" t="s">
        <v>73</v>
      </c>
      <c r="F15" s="4">
        <v>34</v>
      </c>
      <c r="G15" s="7">
        <f t="shared" si="0"/>
        <v>66</v>
      </c>
      <c r="H15" s="4">
        <v>3</v>
      </c>
      <c r="I15" s="4">
        <v>4</v>
      </c>
      <c r="J15" s="3"/>
    </row>
    <row r="16" spans="1:10" x14ac:dyDescent="0.25">
      <c r="A16" s="3" t="s">
        <v>100</v>
      </c>
      <c r="B16" s="6" t="s">
        <v>101</v>
      </c>
      <c r="C16" s="3" t="s">
        <v>72</v>
      </c>
      <c r="D16" s="3" t="s">
        <v>73</v>
      </c>
      <c r="E16" s="3" t="s">
        <v>73</v>
      </c>
      <c r="F16" s="4">
        <v>37</v>
      </c>
      <c r="G16" s="7">
        <f t="shared" si="0"/>
        <v>63</v>
      </c>
      <c r="H16" s="4">
        <v>3</v>
      </c>
      <c r="I16" s="4">
        <v>4</v>
      </c>
      <c r="J16" s="3"/>
    </row>
    <row r="17" spans="1:10" x14ac:dyDescent="0.25">
      <c r="A17" s="3" t="s">
        <v>102</v>
      </c>
      <c r="B17" s="6" t="s">
        <v>103</v>
      </c>
      <c r="C17" s="3" t="s">
        <v>72</v>
      </c>
      <c r="D17" s="3" t="s">
        <v>73</v>
      </c>
      <c r="E17" s="3" t="s">
        <v>73</v>
      </c>
      <c r="F17" s="4">
        <v>47</v>
      </c>
      <c r="G17" s="7">
        <f t="shared" si="0"/>
        <v>53</v>
      </c>
      <c r="H17" s="4">
        <v>3</v>
      </c>
      <c r="I17" s="4">
        <v>4</v>
      </c>
      <c r="J17" s="3"/>
    </row>
    <row r="18" spans="1:10" x14ac:dyDescent="0.25">
      <c r="A18" s="3" t="s">
        <v>104</v>
      </c>
      <c r="B18" s="6" t="s">
        <v>105</v>
      </c>
      <c r="C18" s="3" t="s">
        <v>72</v>
      </c>
      <c r="D18" s="3" t="s">
        <v>73</v>
      </c>
      <c r="E18" s="3" t="s">
        <v>73</v>
      </c>
      <c r="F18" s="4">
        <v>57</v>
      </c>
      <c r="G18" s="7">
        <f t="shared" si="0"/>
        <v>43</v>
      </c>
      <c r="H18" s="4">
        <v>3</v>
      </c>
      <c r="I18" s="4">
        <v>4</v>
      </c>
      <c r="J18" s="3"/>
    </row>
    <row r="19" spans="1:10" x14ac:dyDescent="0.25">
      <c r="A19" s="3" t="s">
        <v>106</v>
      </c>
      <c r="B19" s="6" t="s">
        <v>107</v>
      </c>
      <c r="C19" s="3" t="s">
        <v>72</v>
      </c>
      <c r="D19" s="3" t="s">
        <v>73</v>
      </c>
      <c r="E19" s="3" t="s">
        <v>73</v>
      </c>
      <c r="F19" s="4">
        <v>6</v>
      </c>
      <c r="G19" s="7">
        <f t="shared" si="0"/>
        <v>94</v>
      </c>
      <c r="H19" s="4">
        <v>3</v>
      </c>
      <c r="I19" s="4"/>
      <c r="J19" s="3"/>
    </row>
    <row r="20" spans="1:10" x14ac:dyDescent="0.25">
      <c r="A20" s="8" t="s">
        <v>108</v>
      </c>
      <c r="B20" s="9" t="s">
        <v>109</v>
      </c>
      <c r="C20" s="8" t="s">
        <v>110</v>
      </c>
      <c r="D20" s="8" t="s">
        <v>87</v>
      </c>
      <c r="E20" s="8" t="s">
        <v>73</v>
      </c>
      <c r="F20" s="4">
        <v>81</v>
      </c>
      <c r="G20" s="7">
        <f t="shared" si="0"/>
        <v>19</v>
      </c>
      <c r="H20" s="4"/>
      <c r="I20" s="4">
        <v>4</v>
      </c>
      <c r="J20" s="8"/>
    </row>
    <row r="21" spans="1:10" x14ac:dyDescent="0.25">
      <c r="A21" s="8" t="s">
        <v>111</v>
      </c>
      <c r="B21" s="9" t="s">
        <v>112</v>
      </c>
      <c r="C21" s="8" t="s">
        <v>110</v>
      </c>
      <c r="D21" s="8" t="s">
        <v>87</v>
      </c>
      <c r="E21" s="8" t="s">
        <v>73</v>
      </c>
      <c r="F21" s="4">
        <v>46</v>
      </c>
      <c r="G21" s="7">
        <f t="shared" si="0"/>
        <v>54</v>
      </c>
      <c r="H21" s="4"/>
      <c r="I21" s="4">
        <v>4</v>
      </c>
      <c r="J21" s="8"/>
    </row>
    <row r="22" spans="1:10" x14ac:dyDescent="0.25">
      <c r="A22" s="8" t="s">
        <v>113</v>
      </c>
      <c r="B22" s="9" t="s">
        <v>114</v>
      </c>
      <c r="C22" s="8" t="s">
        <v>110</v>
      </c>
      <c r="D22" s="8" t="s">
        <v>87</v>
      </c>
      <c r="E22" s="8" t="s">
        <v>73</v>
      </c>
      <c r="F22" s="4">
        <v>25</v>
      </c>
      <c r="G22" s="7">
        <f t="shared" si="0"/>
        <v>75</v>
      </c>
      <c r="H22" s="4"/>
      <c r="I22" s="4">
        <v>4</v>
      </c>
      <c r="J22" s="8"/>
    </row>
    <row r="23" spans="1:10" x14ac:dyDescent="0.25">
      <c r="A23" s="8" t="s">
        <v>115</v>
      </c>
      <c r="B23" s="9" t="s">
        <v>116</v>
      </c>
      <c r="C23" s="8" t="s">
        <v>110</v>
      </c>
      <c r="D23" s="8" t="s">
        <v>87</v>
      </c>
      <c r="E23" s="8" t="s">
        <v>73</v>
      </c>
      <c r="F23" s="4">
        <v>61</v>
      </c>
      <c r="G23" s="7">
        <f t="shared" si="0"/>
        <v>39</v>
      </c>
      <c r="H23" s="4"/>
      <c r="I23" s="4">
        <v>4</v>
      </c>
      <c r="J23" s="8"/>
    </row>
    <row r="24" spans="1:10" x14ac:dyDescent="0.25">
      <c r="A24" s="8" t="s">
        <v>117</v>
      </c>
      <c r="B24" s="9" t="s">
        <v>118</v>
      </c>
      <c r="C24" s="8" t="s">
        <v>110</v>
      </c>
      <c r="D24" s="8" t="s">
        <v>87</v>
      </c>
      <c r="E24" s="8" t="s">
        <v>73</v>
      </c>
      <c r="F24" s="4">
        <v>4</v>
      </c>
      <c r="G24" s="7">
        <f t="shared" si="0"/>
        <v>96</v>
      </c>
      <c r="H24" s="4"/>
      <c r="I24" s="4">
        <v>4</v>
      </c>
      <c r="J24" s="8"/>
    </row>
    <row r="25" spans="1:10" x14ac:dyDescent="0.25">
      <c r="A25" s="8" t="s">
        <v>119</v>
      </c>
      <c r="B25" s="9" t="s">
        <v>120</v>
      </c>
      <c r="C25" s="8" t="s">
        <v>110</v>
      </c>
      <c r="D25" s="8" t="s">
        <v>87</v>
      </c>
      <c r="E25" s="8" t="s">
        <v>73</v>
      </c>
      <c r="F25" s="4">
        <v>71</v>
      </c>
      <c r="G25" s="7">
        <f t="shared" si="0"/>
        <v>29</v>
      </c>
      <c r="H25" s="4"/>
      <c r="I25" s="4">
        <v>4</v>
      </c>
      <c r="J25" s="8"/>
    </row>
    <row r="26" spans="1:10" x14ac:dyDescent="0.25">
      <c r="A26" s="3" t="s">
        <v>121</v>
      </c>
      <c r="B26" s="6" t="s">
        <v>122</v>
      </c>
      <c r="C26" s="3" t="s">
        <v>123</v>
      </c>
      <c r="D26" s="3" t="s">
        <v>73</v>
      </c>
      <c r="E26" s="3" t="s">
        <v>73</v>
      </c>
      <c r="F26" s="4">
        <v>19</v>
      </c>
      <c r="G26" s="7">
        <f t="shared" si="0"/>
        <v>81</v>
      </c>
      <c r="H26" s="4">
        <v>3</v>
      </c>
      <c r="I26" s="4"/>
      <c r="J26" s="3"/>
    </row>
    <row r="27" spans="1:10" x14ac:dyDescent="0.25">
      <c r="A27" s="3" t="s">
        <v>124</v>
      </c>
      <c r="B27" s="6" t="s">
        <v>125</v>
      </c>
      <c r="C27" s="3" t="s">
        <v>123</v>
      </c>
      <c r="D27" s="3" t="s">
        <v>73</v>
      </c>
      <c r="E27" s="3" t="s">
        <v>73</v>
      </c>
      <c r="F27" s="4">
        <v>33</v>
      </c>
      <c r="G27" s="7">
        <f t="shared" si="0"/>
        <v>67</v>
      </c>
      <c r="H27" s="4"/>
      <c r="I27" s="4"/>
      <c r="J27" s="3"/>
    </row>
    <row r="28" spans="1:10" x14ac:dyDescent="0.25">
      <c r="A28" s="3" t="s">
        <v>126</v>
      </c>
      <c r="B28" s="6" t="s">
        <v>127</v>
      </c>
      <c r="C28" s="3" t="s">
        <v>123</v>
      </c>
      <c r="D28" s="3" t="s">
        <v>73</v>
      </c>
      <c r="E28" s="3" t="s">
        <v>73</v>
      </c>
      <c r="F28" s="4">
        <v>42</v>
      </c>
      <c r="G28" s="7">
        <f t="shared" si="0"/>
        <v>58</v>
      </c>
      <c r="H28" s="4"/>
      <c r="I28" s="4"/>
      <c r="J28" s="3"/>
    </row>
    <row r="29" spans="1:10" x14ac:dyDescent="0.25">
      <c r="A29" s="3" t="s">
        <v>128</v>
      </c>
      <c r="B29" s="6" t="s">
        <v>129</v>
      </c>
      <c r="C29" s="3" t="s">
        <v>123</v>
      </c>
      <c r="D29" s="3" t="s">
        <v>73</v>
      </c>
      <c r="E29" s="3" t="s">
        <v>73</v>
      </c>
      <c r="F29" s="4">
        <v>29</v>
      </c>
      <c r="G29" s="7">
        <f t="shared" si="0"/>
        <v>71</v>
      </c>
      <c r="H29" s="4"/>
      <c r="I29" s="4">
        <v>5</v>
      </c>
      <c r="J29" s="3"/>
    </row>
    <row r="30" spans="1:10" x14ac:dyDescent="0.25">
      <c r="A30" s="3" t="s">
        <v>130</v>
      </c>
      <c r="B30" s="6" t="s">
        <v>131</v>
      </c>
      <c r="C30" s="3" t="s">
        <v>123</v>
      </c>
      <c r="D30" s="3" t="s">
        <v>73</v>
      </c>
      <c r="E30" s="3" t="s">
        <v>73</v>
      </c>
      <c r="F30" s="4">
        <v>4</v>
      </c>
      <c r="G30" s="7">
        <f t="shared" si="0"/>
        <v>96</v>
      </c>
      <c r="H30" s="4">
        <v>5</v>
      </c>
      <c r="I30" s="4">
        <v>5</v>
      </c>
      <c r="J30" s="3"/>
    </row>
    <row r="31" spans="1:10" x14ac:dyDescent="0.25">
      <c r="A31" s="3" t="s">
        <v>132</v>
      </c>
      <c r="B31" s="6" t="s">
        <v>133</v>
      </c>
      <c r="C31" s="3" t="s">
        <v>123</v>
      </c>
      <c r="D31" s="3" t="s">
        <v>73</v>
      </c>
      <c r="E31" s="3" t="s">
        <v>73</v>
      </c>
      <c r="F31" s="4">
        <v>34</v>
      </c>
      <c r="G31" s="7">
        <f t="shared" si="0"/>
        <v>66</v>
      </c>
      <c r="H31" s="4">
        <v>4</v>
      </c>
      <c r="I31" s="4"/>
      <c r="J31" s="3"/>
    </row>
    <row r="32" spans="1:10" x14ac:dyDescent="0.25">
      <c r="A32" s="3" t="s">
        <v>134</v>
      </c>
      <c r="B32" s="6" t="s">
        <v>135</v>
      </c>
      <c r="C32" s="3" t="s">
        <v>123</v>
      </c>
      <c r="D32" s="3" t="s">
        <v>73</v>
      </c>
      <c r="E32" s="3" t="s">
        <v>73</v>
      </c>
      <c r="F32" s="4">
        <v>4</v>
      </c>
      <c r="G32" s="7">
        <f t="shared" si="0"/>
        <v>96</v>
      </c>
      <c r="H32" s="4">
        <v>5</v>
      </c>
      <c r="I32" s="4"/>
      <c r="J32" s="3"/>
    </row>
    <row r="33" spans="1:10" x14ac:dyDescent="0.25">
      <c r="A33" s="3" t="s">
        <v>136</v>
      </c>
      <c r="B33" s="6" t="s">
        <v>137</v>
      </c>
      <c r="C33" s="3" t="s">
        <v>123</v>
      </c>
      <c r="D33" s="3" t="s">
        <v>73</v>
      </c>
      <c r="E33" s="3" t="s">
        <v>73</v>
      </c>
      <c r="F33" s="4">
        <v>73</v>
      </c>
      <c r="G33" s="7">
        <f t="shared" si="0"/>
        <v>27</v>
      </c>
      <c r="H33" s="4">
        <v>4</v>
      </c>
      <c r="I33" s="4"/>
      <c r="J33" s="3"/>
    </row>
    <row r="34" spans="1:10" x14ac:dyDescent="0.25">
      <c r="A34" s="3" t="s">
        <v>138</v>
      </c>
      <c r="B34" s="6" t="s">
        <v>139</v>
      </c>
      <c r="C34" s="3" t="s">
        <v>123</v>
      </c>
      <c r="D34" s="3" t="s">
        <v>73</v>
      </c>
      <c r="E34" s="3" t="s">
        <v>73</v>
      </c>
      <c r="F34" s="4">
        <v>28</v>
      </c>
      <c r="G34" s="7">
        <f t="shared" ref="G34:G65" si="1">IF(F34="","",100-F34)</f>
        <v>72</v>
      </c>
      <c r="H34" s="4">
        <v>4</v>
      </c>
      <c r="I34" s="4">
        <v>5</v>
      </c>
      <c r="J34" s="3"/>
    </row>
    <row r="35" spans="1:10" x14ac:dyDescent="0.25">
      <c r="A35" s="3" t="s">
        <v>140</v>
      </c>
      <c r="B35" s="6" t="s">
        <v>141</v>
      </c>
      <c r="C35" s="3" t="s">
        <v>123</v>
      </c>
      <c r="D35" s="3" t="s">
        <v>73</v>
      </c>
      <c r="E35" s="3" t="s">
        <v>73</v>
      </c>
      <c r="F35" s="4">
        <v>38</v>
      </c>
      <c r="G35" s="7">
        <f t="shared" si="1"/>
        <v>62</v>
      </c>
      <c r="H35" s="4"/>
      <c r="I35" s="4">
        <v>5</v>
      </c>
      <c r="J35" s="3"/>
    </row>
    <row r="36" spans="1:10" x14ac:dyDescent="0.25">
      <c r="A36" s="3" t="s">
        <v>142</v>
      </c>
      <c r="B36" s="6" t="s">
        <v>143</v>
      </c>
      <c r="C36" s="3" t="s">
        <v>123</v>
      </c>
      <c r="D36" s="3" t="s">
        <v>73</v>
      </c>
      <c r="E36" s="3" t="s">
        <v>73</v>
      </c>
      <c r="F36" s="4">
        <v>20</v>
      </c>
      <c r="G36" s="7">
        <f t="shared" si="1"/>
        <v>80</v>
      </c>
      <c r="H36" s="4">
        <v>5</v>
      </c>
      <c r="I36" s="4">
        <v>5</v>
      </c>
      <c r="J36" s="3"/>
    </row>
    <row r="37" spans="1:10" x14ac:dyDescent="0.25">
      <c r="A37" s="3" t="s">
        <v>144</v>
      </c>
      <c r="B37" s="6" t="s">
        <v>145</v>
      </c>
      <c r="C37" s="3" t="s">
        <v>123</v>
      </c>
      <c r="D37" s="3" t="s">
        <v>73</v>
      </c>
      <c r="E37" s="3" t="s">
        <v>73</v>
      </c>
      <c r="F37" s="4">
        <v>18</v>
      </c>
      <c r="G37" s="7">
        <f t="shared" si="1"/>
        <v>82</v>
      </c>
      <c r="H37" s="4">
        <v>5</v>
      </c>
      <c r="I37" s="4"/>
      <c r="J37" s="3"/>
    </row>
    <row r="38" spans="1:10" x14ac:dyDescent="0.25">
      <c r="A38" s="3" t="s">
        <v>146</v>
      </c>
      <c r="B38" s="6" t="s">
        <v>147</v>
      </c>
      <c r="C38" s="3" t="s">
        <v>123</v>
      </c>
      <c r="D38" s="3" t="s">
        <v>73</v>
      </c>
      <c r="E38" s="3" t="s">
        <v>73</v>
      </c>
      <c r="F38" s="4">
        <v>24</v>
      </c>
      <c r="G38" s="7">
        <f t="shared" si="1"/>
        <v>76</v>
      </c>
      <c r="H38" s="4">
        <v>4</v>
      </c>
      <c r="I38" s="4">
        <v>5</v>
      </c>
      <c r="J38" s="3"/>
    </row>
    <row r="39" spans="1:10" x14ac:dyDescent="0.25">
      <c r="A39" s="3" t="s">
        <v>148</v>
      </c>
      <c r="B39" s="6" t="s">
        <v>149</v>
      </c>
      <c r="C39" s="3" t="s">
        <v>123</v>
      </c>
      <c r="D39" s="3" t="s">
        <v>73</v>
      </c>
      <c r="E39" s="3" t="s">
        <v>73</v>
      </c>
      <c r="F39" s="4">
        <v>36</v>
      </c>
      <c r="G39" s="7">
        <f t="shared" si="1"/>
        <v>64</v>
      </c>
      <c r="H39" s="4">
        <v>3</v>
      </c>
      <c r="I39" s="4">
        <v>5</v>
      </c>
      <c r="J39" s="3"/>
    </row>
    <row r="40" spans="1:10" x14ac:dyDescent="0.25">
      <c r="A40" s="3" t="s">
        <v>96</v>
      </c>
      <c r="B40" s="6" t="s">
        <v>97</v>
      </c>
      <c r="C40" s="3" t="s">
        <v>123</v>
      </c>
      <c r="D40" s="3" t="s">
        <v>73</v>
      </c>
      <c r="E40" s="3" t="s">
        <v>73</v>
      </c>
      <c r="F40" s="4">
        <v>34</v>
      </c>
      <c r="G40" s="7">
        <f t="shared" si="1"/>
        <v>66</v>
      </c>
      <c r="H40" s="4">
        <v>3</v>
      </c>
      <c r="I40" s="4">
        <v>5</v>
      </c>
      <c r="J40" s="3"/>
    </row>
    <row r="41" spans="1:10" x14ac:dyDescent="0.25">
      <c r="A41" s="3" t="s">
        <v>150</v>
      </c>
      <c r="B41" s="6" t="s">
        <v>151</v>
      </c>
      <c r="C41" s="3" t="s">
        <v>123</v>
      </c>
      <c r="D41" s="3" t="s">
        <v>73</v>
      </c>
      <c r="E41" s="3" t="s">
        <v>73</v>
      </c>
      <c r="F41" s="4">
        <v>42</v>
      </c>
      <c r="G41" s="7">
        <f t="shared" si="1"/>
        <v>58</v>
      </c>
      <c r="H41" s="4">
        <v>5</v>
      </c>
      <c r="I41" s="4">
        <v>5</v>
      </c>
      <c r="J41" s="3"/>
    </row>
    <row r="42" spans="1:10" x14ac:dyDescent="0.25">
      <c r="A42" s="3" t="s">
        <v>152</v>
      </c>
      <c r="B42" s="6" t="s">
        <v>153</v>
      </c>
      <c r="C42" s="3" t="s">
        <v>123</v>
      </c>
      <c r="D42" s="3" t="s">
        <v>73</v>
      </c>
      <c r="E42" s="3" t="s">
        <v>73</v>
      </c>
      <c r="F42" s="4">
        <v>46</v>
      </c>
      <c r="G42" s="7">
        <f t="shared" si="1"/>
        <v>54</v>
      </c>
      <c r="H42" s="4"/>
      <c r="I42" s="4">
        <v>5</v>
      </c>
      <c r="J42" s="3"/>
    </row>
    <row r="43" spans="1:10" x14ac:dyDescent="0.25">
      <c r="A43" s="3" t="s">
        <v>154</v>
      </c>
      <c r="B43" s="6" t="s">
        <v>155</v>
      </c>
      <c r="C43" s="3" t="s">
        <v>123</v>
      </c>
      <c r="D43" s="3" t="s">
        <v>73</v>
      </c>
      <c r="E43" s="3" t="s">
        <v>73</v>
      </c>
      <c r="F43" s="4">
        <v>8</v>
      </c>
      <c r="G43" s="7">
        <f t="shared" si="1"/>
        <v>92</v>
      </c>
      <c r="H43" s="4">
        <v>3</v>
      </c>
      <c r="I43" s="4">
        <v>4</v>
      </c>
      <c r="J43" s="3"/>
    </row>
    <row r="44" spans="1:10" x14ac:dyDescent="0.25">
      <c r="A44" s="3" t="s">
        <v>156</v>
      </c>
      <c r="B44" s="6" t="s">
        <v>157</v>
      </c>
      <c r="C44" s="3" t="s">
        <v>123</v>
      </c>
      <c r="D44" s="3" t="s">
        <v>73</v>
      </c>
      <c r="E44" s="3" t="s">
        <v>73</v>
      </c>
      <c r="F44" s="4">
        <v>40</v>
      </c>
      <c r="G44" s="7">
        <f t="shared" si="1"/>
        <v>60</v>
      </c>
      <c r="H44" s="4"/>
      <c r="I44" s="4"/>
      <c r="J44" s="3"/>
    </row>
    <row r="45" spans="1:10" x14ac:dyDescent="0.25">
      <c r="A45" s="3" t="s">
        <v>158</v>
      </c>
      <c r="B45" s="6" t="s">
        <v>159</v>
      </c>
      <c r="C45" s="3" t="s">
        <v>123</v>
      </c>
      <c r="D45" s="3" t="s">
        <v>73</v>
      </c>
      <c r="E45" s="3" t="s">
        <v>73</v>
      </c>
      <c r="F45" s="4">
        <v>35</v>
      </c>
      <c r="G45" s="7">
        <f t="shared" si="1"/>
        <v>65</v>
      </c>
      <c r="H45" s="4"/>
      <c r="I45" s="4"/>
      <c r="J45" s="3"/>
    </row>
    <row r="46" spans="1:10" x14ac:dyDescent="0.25">
      <c r="A46" s="8" t="s">
        <v>160</v>
      </c>
      <c r="B46" s="9" t="s">
        <v>161</v>
      </c>
      <c r="C46" s="8" t="s">
        <v>162</v>
      </c>
      <c r="D46" s="8" t="s">
        <v>87</v>
      </c>
      <c r="E46" s="8" t="s">
        <v>73</v>
      </c>
      <c r="F46" s="4">
        <v>12</v>
      </c>
      <c r="G46" s="7">
        <f t="shared" si="1"/>
        <v>88</v>
      </c>
      <c r="H46" s="4">
        <v>4</v>
      </c>
      <c r="I46" s="4"/>
      <c r="J46" s="8"/>
    </row>
    <row r="47" spans="1:10" x14ac:dyDescent="0.25">
      <c r="A47" s="3" t="s">
        <v>163</v>
      </c>
      <c r="B47" s="6" t="s">
        <v>164</v>
      </c>
      <c r="C47" s="3" t="s">
        <v>162</v>
      </c>
      <c r="D47" s="3" t="s">
        <v>73</v>
      </c>
      <c r="E47" s="3" t="s">
        <v>73</v>
      </c>
      <c r="F47" s="4">
        <v>75</v>
      </c>
      <c r="G47" s="7">
        <f t="shared" si="1"/>
        <v>25</v>
      </c>
      <c r="H47" s="4">
        <v>3</v>
      </c>
      <c r="I47" s="4">
        <v>5</v>
      </c>
      <c r="J47" s="3"/>
    </row>
    <row r="48" spans="1:10" x14ac:dyDescent="0.25">
      <c r="A48" s="3" t="s">
        <v>165</v>
      </c>
      <c r="B48" s="6" t="s">
        <v>166</v>
      </c>
      <c r="C48" s="3" t="s">
        <v>162</v>
      </c>
      <c r="D48" s="3" t="s">
        <v>73</v>
      </c>
      <c r="E48" s="3" t="s">
        <v>73</v>
      </c>
      <c r="F48" s="4">
        <v>85</v>
      </c>
      <c r="G48" s="7">
        <f t="shared" si="1"/>
        <v>15</v>
      </c>
      <c r="H48" s="4"/>
      <c r="I48" s="4">
        <v>4</v>
      </c>
      <c r="J48" s="3"/>
    </row>
    <row r="49" spans="1:10" x14ac:dyDescent="0.25">
      <c r="A49" s="3" t="s">
        <v>167</v>
      </c>
      <c r="B49" s="6" t="s">
        <v>168</v>
      </c>
      <c r="C49" s="3" t="s">
        <v>162</v>
      </c>
      <c r="D49" s="3" t="s">
        <v>73</v>
      </c>
      <c r="E49" s="3" t="s">
        <v>73</v>
      </c>
      <c r="F49" s="4">
        <v>49</v>
      </c>
      <c r="G49" s="7">
        <f t="shared" si="1"/>
        <v>51</v>
      </c>
      <c r="H49" s="4">
        <v>3</v>
      </c>
      <c r="I49" s="4">
        <v>4</v>
      </c>
      <c r="J49" s="3"/>
    </row>
    <row r="50" spans="1:10" x14ac:dyDescent="0.25">
      <c r="A50" s="3" t="s">
        <v>169</v>
      </c>
      <c r="B50" s="6" t="s">
        <v>170</v>
      </c>
      <c r="C50" s="3" t="s">
        <v>162</v>
      </c>
      <c r="D50" s="3" t="s">
        <v>73</v>
      </c>
      <c r="E50" s="3" t="s">
        <v>73</v>
      </c>
      <c r="F50" s="4">
        <v>25</v>
      </c>
      <c r="G50" s="7">
        <f t="shared" si="1"/>
        <v>75</v>
      </c>
      <c r="H50" s="4"/>
      <c r="I50" s="4">
        <v>5</v>
      </c>
      <c r="J50" s="3"/>
    </row>
    <row r="51" spans="1:10" x14ac:dyDescent="0.25">
      <c r="A51" s="3" t="s">
        <v>171</v>
      </c>
      <c r="B51" s="6" t="s">
        <v>172</v>
      </c>
      <c r="C51" s="3" t="s">
        <v>162</v>
      </c>
      <c r="D51" s="3" t="s">
        <v>73</v>
      </c>
      <c r="E51" s="3" t="s">
        <v>73</v>
      </c>
      <c r="F51" s="4">
        <v>84</v>
      </c>
      <c r="G51" s="7">
        <f t="shared" si="1"/>
        <v>16</v>
      </c>
      <c r="H51" s="4"/>
      <c r="I51" s="4">
        <v>4</v>
      </c>
      <c r="J51" s="3"/>
    </row>
    <row r="52" spans="1:10" x14ac:dyDescent="0.25">
      <c r="A52" s="3" t="s">
        <v>173</v>
      </c>
      <c r="B52" s="6" t="s">
        <v>174</v>
      </c>
      <c r="C52" s="3" t="s">
        <v>162</v>
      </c>
      <c r="D52" s="3" t="s">
        <v>73</v>
      </c>
      <c r="E52" s="3" t="s">
        <v>73</v>
      </c>
      <c r="F52" s="4">
        <v>81</v>
      </c>
      <c r="G52" s="7">
        <f t="shared" si="1"/>
        <v>19</v>
      </c>
      <c r="H52" s="4">
        <v>3</v>
      </c>
      <c r="I52" s="4">
        <v>4</v>
      </c>
      <c r="J52" s="3"/>
    </row>
    <row r="53" spans="1:10" x14ac:dyDescent="0.25">
      <c r="A53" s="3" t="s">
        <v>175</v>
      </c>
      <c r="B53" s="6" t="s">
        <v>176</v>
      </c>
      <c r="C53" s="3" t="s">
        <v>162</v>
      </c>
      <c r="D53" s="3" t="s">
        <v>73</v>
      </c>
      <c r="E53" s="3" t="s">
        <v>73</v>
      </c>
      <c r="F53" s="4">
        <v>12</v>
      </c>
      <c r="G53" s="7">
        <f t="shared" si="1"/>
        <v>88</v>
      </c>
      <c r="H53" s="4">
        <v>4</v>
      </c>
      <c r="I53" s="4">
        <v>5</v>
      </c>
      <c r="J53" s="3"/>
    </row>
    <row r="54" spans="1:10" x14ac:dyDescent="0.25">
      <c r="A54" s="3" t="s">
        <v>177</v>
      </c>
      <c r="B54" s="6" t="s">
        <v>178</v>
      </c>
      <c r="C54" s="3" t="s">
        <v>162</v>
      </c>
      <c r="D54" s="3" t="s">
        <v>73</v>
      </c>
      <c r="E54" s="3" t="s">
        <v>73</v>
      </c>
      <c r="F54" s="4">
        <v>64</v>
      </c>
      <c r="G54" s="7">
        <f t="shared" si="1"/>
        <v>36</v>
      </c>
      <c r="H54" s="4">
        <v>3</v>
      </c>
      <c r="I54" s="4">
        <v>4</v>
      </c>
      <c r="J54" s="3"/>
    </row>
    <row r="55" spans="1:10" x14ac:dyDescent="0.25">
      <c r="A55" s="3" t="s">
        <v>179</v>
      </c>
      <c r="B55" s="6" t="s">
        <v>180</v>
      </c>
      <c r="C55" s="3" t="s">
        <v>162</v>
      </c>
      <c r="D55" s="3" t="s">
        <v>73</v>
      </c>
      <c r="E55" s="3" t="s">
        <v>73</v>
      </c>
      <c r="F55" s="4">
        <v>12</v>
      </c>
      <c r="G55" s="7">
        <f t="shared" si="1"/>
        <v>88</v>
      </c>
      <c r="H55" s="4">
        <v>3</v>
      </c>
      <c r="I55" s="4">
        <v>5</v>
      </c>
      <c r="J55" s="3"/>
    </row>
    <row r="56" spans="1:10" x14ac:dyDescent="0.25">
      <c r="A56" s="3" t="s">
        <v>181</v>
      </c>
      <c r="B56" s="6" t="s">
        <v>182</v>
      </c>
      <c r="C56" s="3" t="s">
        <v>162</v>
      </c>
      <c r="D56" s="3" t="s">
        <v>73</v>
      </c>
      <c r="E56" s="3" t="s">
        <v>73</v>
      </c>
      <c r="F56" s="4">
        <v>9</v>
      </c>
      <c r="G56" s="7">
        <f t="shared" si="1"/>
        <v>91</v>
      </c>
      <c r="H56" s="4">
        <v>3</v>
      </c>
      <c r="I56" s="4">
        <v>4</v>
      </c>
      <c r="J56" s="3"/>
    </row>
    <row r="57" spans="1:10" x14ac:dyDescent="0.25">
      <c r="A57" s="3" t="s">
        <v>183</v>
      </c>
      <c r="B57" s="6" t="s">
        <v>184</v>
      </c>
      <c r="C57" s="3" t="s">
        <v>162</v>
      </c>
      <c r="D57" s="3" t="s">
        <v>73</v>
      </c>
      <c r="E57" s="3" t="s">
        <v>73</v>
      </c>
      <c r="F57" s="4">
        <v>20</v>
      </c>
      <c r="G57" s="7">
        <f t="shared" si="1"/>
        <v>80</v>
      </c>
      <c r="H57" s="4">
        <v>3</v>
      </c>
      <c r="I57" s="4">
        <v>5</v>
      </c>
      <c r="J57" s="3"/>
    </row>
    <row r="58" spans="1:10" x14ac:dyDescent="0.25">
      <c r="A58" s="3" t="s">
        <v>185</v>
      </c>
      <c r="B58" s="6" t="s">
        <v>186</v>
      </c>
      <c r="C58" s="3" t="s">
        <v>162</v>
      </c>
      <c r="D58" s="3" t="s">
        <v>73</v>
      </c>
      <c r="E58" s="3" t="s">
        <v>73</v>
      </c>
      <c r="F58" s="4">
        <v>23</v>
      </c>
      <c r="G58" s="7">
        <f t="shared" si="1"/>
        <v>77</v>
      </c>
      <c r="H58" s="4"/>
      <c r="I58" s="4"/>
      <c r="J58" s="3"/>
    </row>
    <row r="59" spans="1:10" x14ac:dyDescent="0.25">
      <c r="A59" s="3" t="s">
        <v>187</v>
      </c>
      <c r="B59" s="6" t="s">
        <v>188</v>
      </c>
      <c r="C59" s="3" t="s">
        <v>162</v>
      </c>
      <c r="D59" s="3" t="s">
        <v>73</v>
      </c>
      <c r="E59" s="3" t="s">
        <v>73</v>
      </c>
      <c r="F59" s="4">
        <v>45</v>
      </c>
      <c r="G59" s="7">
        <f t="shared" si="1"/>
        <v>55</v>
      </c>
      <c r="H59" s="4"/>
      <c r="I59" s="4">
        <v>4</v>
      </c>
      <c r="J59" s="3"/>
    </row>
    <row r="60" spans="1:10" x14ac:dyDescent="0.25">
      <c r="A60" s="8" t="s">
        <v>189</v>
      </c>
      <c r="B60" s="9" t="s">
        <v>190</v>
      </c>
      <c r="C60" s="8" t="s">
        <v>162</v>
      </c>
      <c r="D60" s="8" t="s">
        <v>87</v>
      </c>
      <c r="E60" s="8" t="s">
        <v>73</v>
      </c>
      <c r="F60" s="4">
        <v>45</v>
      </c>
      <c r="G60" s="7">
        <f t="shared" si="1"/>
        <v>55</v>
      </c>
      <c r="H60" s="4">
        <v>3</v>
      </c>
      <c r="I60" s="4">
        <v>4</v>
      </c>
      <c r="J60" s="8"/>
    </row>
    <row r="61" spans="1:10" x14ac:dyDescent="0.25">
      <c r="A61" s="3" t="s">
        <v>191</v>
      </c>
      <c r="B61" s="6" t="s">
        <v>192</v>
      </c>
      <c r="C61" s="3" t="s">
        <v>162</v>
      </c>
      <c r="D61" s="3" t="s">
        <v>73</v>
      </c>
      <c r="E61" s="3" t="s">
        <v>73</v>
      </c>
      <c r="F61" s="4">
        <v>29</v>
      </c>
      <c r="G61" s="7">
        <f t="shared" si="1"/>
        <v>71</v>
      </c>
      <c r="H61" s="4">
        <v>3</v>
      </c>
      <c r="I61" s="4">
        <v>4</v>
      </c>
      <c r="J61" s="3"/>
    </row>
    <row r="62" spans="1:10" x14ac:dyDescent="0.25">
      <c r="A62" s="3"/>
      <c r="B62" s="6" t="s">
        <v>193</v>
      </c>
      <c r="C62" s="3" t="s">
        <v>162</v>
      </c>
      <c r="D62" s="3" t="s">
        <v>73</v>
      </c>
      <c r="E62" s="3" t="s">
        <v>87</v>
      </c>
      <c r="F62" s="4">
        <v>1</v>
      </c>
      <c r="G62" s="7">
        <f t="shared" si="1"/>
        <v>99</v>
      </c>
      <c r="H62" s="4">
        <v>3</v>
      </c>
      <c r="I62" s="4"/>
      <c r="J62" s="3" t="s">
        <v>194</v>
      </c>
    </row>
    <row r="63" spans="1:10" x14ac:dyDescent="0.25">
      <c r="A63" s="3"/>
      <c r="B63" s="6" t="s">
        <v>195</v>
      </c>
      <c r="C63" s="3" t="s">
        <v>162</v>
      </c>
      <c r="D63" s="3" t="s">
        <v>73</v>
      </c>
      <c r="E63" s="3" t="s">
        <v>73</v>
      </c>
      <c r="F63" s="4">
        <v>45</v>
      </c>
      <c r="G63" s="7">
        <f t="shared" si="1"/>
        <v>55</v>
      </c>
      <c r="H63" s="4"/>
      <c r="I63" s="4">
        <v>5</v>
      </c>
      <c r="J63" s="3"/>
    </row>
    <row r="64" spans="1:10" x14ac:dyDescent="0.25">
      <c r="A64" s="3" t="s">
        <v>196</v>
      </c>
      <c r="B64" s="6" t="s">
        <v>197</v>
      </c>
      <c r="C64" s="3" t="s">
        <v>162</v>
      </c>
      <c r="D64" s="3" t="s">
        <v>73</v>
      </c>
      <c r="E64" s="3" t="s">
        <v>73</v>
      </c>
      <c r="F64" s="4">
        <v>13</v>
      </c>
      <c r="G64" s="7">
        <f t="shared" si="1"/>
        <v>87</v>
      </c>
      <c r="H64" s="4">
        <v>3</v>
      </c>
      <c r="I64" s="4">
        <v>5</v>
      </c>
      <c r="J64" s="3"/>
    </row>
    <row r="65" spans="1:10" x14ac:dyDescent="0.25">
      <c r="A65" s="3"/>
      <c r="B65" s="6" t="s">
        <v>198</v>
      </c>
      <c r="C65" s="3" t="s">
        <v>162</v>
      </c>
      <c r="D65" s="3" t="s">
        <v>73</v>
      </c>
      <c r="E65" s="3" t="s">
        <v>73</v>
      </c>
      <c r="F65" s="4">
        <v>20</v>
      </c>
      <c r="G65" s="7">
        <f t="shared" si="1"/>
        <v>80</v>
      </c>
      <c r="H65" s="4">
        <v>3</v>
      </c>
      <c r="I65" s="4"/>
      <c r="J65" s="3"/>
    </row>
    <row r="66" spans="1:10" x14ac:dyDescent="0.25">
      <c r="A66" s="3" t="s">
        <v>199</v>
      </c>
      <c r="B66" s="6" t="s">
        <v>200</v>
      </c>
      <c r="C66" s="3" t="s">
        <v>162</v>
      </c>
      <c r="D66" s="3" t="s">
        <v>73</v>
      </c>
      <c r="E66" s="3" t="s">
        <v>73</v>
      </c>
      <c r="F66" s="4">
        <v>6</v>
      </c>
      <c r="G66" s="7">
        <f t="shared" ref="G66:G97" si="2">IF(F66="","",100-F66)</f>
        <v>94</v>
      </c>
      <c r="H66" s="4">
        <v>3</v>
      </c>
      <c r="I66" s="4"/>
      <c r="J66" s="3"/>
    </row>
    <row r="67" spans="1:10" x14ac:dyDescent="0.25">
      <c r="A67" s="3" t="s">
        <v>201</v>
      </c>
      <c r="B67" s="6" t="s">
        <v>202</v>
      </c>
      <c r="C67" s="3" t="s">
        <v>162</v>
      </c>
      <c r="D67" s="3" t="s">
        <v>73</v>
      </c>
      <c r="E67" s="3" t="s">
        <v>73</v>
      </c>
      <c r="F67" s="4">
        <v>16</v>
      </c>
      <c r="G67" s="7">
        <f t="shared" si="2"/>
        <v>84</v>
      </c>
      <c r="H67" s="4"/>
      <c r="I67" s="4">
        <v>4</v>
      </c>
      <c r="J67" s="3"/>
    </row>
    <row r="68" spans="1:10" x14ac:dyDescent="0.25">
      <c r="A68" s="3" t="s">
        <v>203</v>
      </c>
      <c r="B68" s="6" t="s">
        <v>204</v>
      </c>
      <c r="C68" s="3" t="s">
        <v>205</v>
      </c>
      <c r="D68" s="3" t="s">
        <v>73</v>
      </c>
      <c r="E68" s="3" t="s">
        <v>73</v>
      </c>
      <c r="F68" s="4">
        <v>35</v>
      </c>
      <c r="G68" s="7">
        <f t="shared" si="2"/>
        <v>65</v>
      </c>
      <c r="H68" s="4">
        <v>5</v>
      </c>
      <c r="I68" s="4">
        <v>5</v>
      </c>
      <c r="J68" s="3"/>
    </row>
    <row r="69" spans="1:10" x14ac:dyDescent="0.25">
      <c r="A69" s="3" t="s">
        <v>206</v>
      </c>
      <c r="B69" s="6" t="s">
        <v>207</v>
      </c>
      <c r="C69" s="3" t="s">
        <v>205</v>
      </c>
      <c r="D69" s="3" t="s">
        <v>73</v>
      </c>
      <c r="E69" s="3" t="s">
        <v>73</v>
      </c>
      <c r="F69" s="4">
        <v>19</v>
      </c>
      <c r="G69" s="7">
        <f t="shared" si="2"/>
        <v>81</v>
      </c>
      <c r="H69" s="4"/>
      <c r="I69" s="4">
        <v>5</v>
      </c>
      <c r="J69" s="3"/>
    </row>
    <row r="70" spans="1:10" x14ac:dyDescent="0.25">
      <c r="A70" s="3" t="s">
        <v>208</v>
      </c>
      <c r="B70" s="6" t="s">
        <v>209</v>
      </c>
      <c r="C70" s="3" t="s">
        <v>205</v>
      </c>
      <c r="D70" s="3" t="s">
        <v>73</v>
      </c>
      <c r="E70" s="3" t="s">
        <v>73</v>
      </c>
      <c r="F70" s="4">
        <v>20</v>
      </c>
      <c r="G70" s="7">
        <f t="shared" si="2"/>
        <v>80</v>
      </c>
      <c r="H70" s="4">
        <v>5</v>
      </c>
      <c r="I70" s="4">
        <v>4</v>
      </c>
      <c r="J70" s="3"/>
    </row>
    <row r="71" spans="1:10" x14ac:dyDescent="0.25">
      <c r="A71" s="3" t="s">
        <v>210</v>
      </c>
      <c r="B71" s="6" t="s">
        <v>211</v>
      </c>
      <c r="C71" s="3" t="s">
        <v>205</v>
      </c>
      <c r="D71" s="3" t="s">
        <v>73</v>
      </c>
      <c r="E71" s="3" t="s">
        <v>73</v>
      </c>
      <c r="F71" s="4">
        <v>23</v>
      </c>
      <c r="G71" s="7">
        <f t="shared" si="2"/>
        <v>77</v>
      </c>
      <c r="H71" s="4">
        <v>5</v>
      </c>
      <c r="I71" s="4">
        <v>5</v>
      </c>
      <c r="J71" s="3"/>
    </row>
    <row r="72" spans="1:10" x14ac:dyDescent="0.25">
      <c r="A72" s="3" t="s">
        <v>212</v>
      </c>
      <c r="B72" s="6" t="s">
        <v>213</v>
      </c>
      <c r="C72" s="3" t="s">
        <v>205</v>
      </c>
      <c r="D72" s="3" t="s">
        <v>73</v>
      </c>
      <c r="E72" s="3" t="s">
        <v>73</v>
      </c>
      <c r="F72" s="4">
        <v>31</v>
      </c>
      <c r="G72" s="7">
        <f t="shared" si="2"/>
        <v>69</v>
      </c>
      <c r="H72" s="4">
        <v>5</v>
      </c>
      <c r="I72" s="4">
        <v>5</v>
      </c>
      <c r="J72" s="3"/>
    </row>
    <row r="73" spans="1:10" x14ac:dyDescent="0.25">
      <c r="A73" s="3" t="s">
        <v>214</v>
      </c>
      <c r="B73" s="6" t="s">
        <v>215</v>
      </c>
      <c r="C73" s="3" t="s">
        <v>205</v>
      </c>
      <c r="D73" s="3" t="s">
        <v>73</v>
      </c>
      <c r="E73" s="3" t="s">
        <v>73</v>
      </c>
      <c r="F73" s="4">
        <v>30</v>
      </c>
      <c r="G73" s="7">
        <f t="shared" si="2"/>
        <v>70</v>
      </c>
      <c r="H73" s="4">
        <v>3</v>
      </c>
      <c r="I73" s="4">
        <v>5</v>
      </c>
      <c r="J73" s="3"/>
    </row>
    <row r="74" spans="1:10" x14ac:dyDescent="0.25">
      <c r="A74" s="3" t="s">
        <v>216</v>
      </c>
      <c r="B74" s="6" t="s">
        <v>217</v>
      </c>
      <c r="C74" s="3" t="s">
        <v>205</v>
      </c>
      <c r="D74" s="3" t="s">
        <v>73</v>
      </c>
      <c r="E74" s="3" t="s">
        <v>73</v>
      </c>
      <c r="F74" s="4">
        <v>15</v>
      </c>
      <c r="G74" s="7">
        <f t="shared" si="2"/>
        <v>85</v>
      </c>
      <c r="H74" s="4">
        <v>4</v>
      </c>
      <c r="I74" s="4">
        <v>5</v>
      </c>
      <c r="J74" s="3"/>
    </row>
    <row r="75" spans="1:10" x14ac:dyDescent="0.25">
      <c r="A75" s="3" t="s">
        <v>218</v>
      </c>
      <c r="B75" s="6" t="s">
        <v>219</v>
      </c>
      <c r="C75" s="3" t="s">
        <v>205</v>
      </c>
      <c r="D75" s="3" t="s">
        <v>73</v>
      </c>
      <c r="E75" s="3" t="s">
        <v>73</v>
      </c>
      <c r="F75" s="4">
        <v>8</v>
      </c>
      <c r="G75" s="7">
        <f t="shared" si="2"/>
        <v>92</v>
      </c>
      <c r="H75" s="4">
        <v>4</v>
      </c>
      <c r="I75" s="4">
        <v>5</v>
      </c>
      <c r="J75" s="3"/>
    </row>
    <row r="76" spans="1:10" x14ac:dyDescent="0.25">
      <c r="A76" s="3" t="s">
        <v>220</v>
      </c>
      <c r="B76" s="6" t="s">
        <v>221</v>
      </c>
      <c r="C76" s="3" t="s">
        <v>205</v>
      </c>
      <c r="D76" s="3" t="s">
        <v>73</v>
      </c>
      <c r="E76" s="3" t="s">
        <v>73</v>
      </c>
      <c r="F76" s="4">
        <v>13</v>
      </c>
      <c r="G76" s="7">
        <f t="shared" si="2"/>
        <v>87</v>
      </c>
      <c r="H76" s="4">
        <v>4</v>
      </c>
      <c r="I76" s="4"/>
      <c r="J76" s="3"/>
    </row>
    <row r="77" spans="1:10" x14ac:dyDescent="0.25">
      <c r="A77" s="3" t="s">
        <v>222</v>
      </c>
      <c r="B77" s="6" t="s">
        <v>223</v>
      </c>
      <c r="C77" s="3" t="s">
        <v>205</v>
      </c>
      <c r="D77" s="3" t="s">
        <v>73</v>
      </c>
      <c r="E77" s="3" t="s">
        <v>73</v>
      </c>
      <c r="F77" s="4">
        <v>37</v>
      </c>
      <c r="G77" s="7">
        <f t="shared" si="2"/>
        <v>63</v>
      </c>
      <c r="H77" s="4">
        <v>3</v>
      </c>
      <c r="I77" s="4"/>
      <c r="J77" s="3"/>
    </row>
    <row r="78" spans="1:10" x14ac:dyDescent="0.25">
      <c r="A78" s="3" t="s">
        <v>224</v>
      </c>
      <c r="B78" s="6" t="s">
        <v>225</v>
      </c>
      <c r="C78" s="3" t="s">
        <v>205</v>
      </c>
      <c r="D78" s="3" t="s">
        <v>73</v>
      </c>
      <c r="E78" s="3" t="s">
        <v>73</v>
      </c>
      <c r="F78" s="4">
        <v>9</v>
      </c>
      <c r="G78" s="7">
        <f t="shared" si="2"/>
        <v>91</v>
      </c>
      <c r="H78" s="4">
        <v>4</v>
      </c>
      <c r="I78" s="4">
        <v>4</v>
      </c>
      <c r="J78" s="3"/>
    </row>
    <row r="79" spans="1:10" x14ac:dyDescent="0.25">
      <c r="A79" s="8"/>
      <c r="B79" s="9" t="s">
        <v>226</v>
      </c>
      <c r="C79" s="8" t="s">
        <v>205</v>
      </c>
      <c r="D79" s="8" t="s">
        <v>87</v>
      </c>
      <c r="E79" s="8" t="s">
        <v>73</v>
      </c>
      <c r="F79" s="4">
        <v>81</v>
      </c>
      <c r="G79" s="7">
        <f t="shared" si="2"/>
        <v>19</v>
      </c>
      <c r="H79" s="4"/>
      <c r="I79" s="4">
        <v>5</v>
      </c>
      <c r="J79" s="8"/>
    </row>
    <row r="80" spans="1:10" x14ac:dyDescent="0.25">
      <c r="A80" s="3" t="s">
        <v>227</v>
      </c>
      <c r="B80" s="6" t="s">
        <v>228</v>
      </c>
      <c r="C80" s="3" t="s">
        <v>205</v>
      </c>
      <c r="D80" s="3" t="s">
        <v>73</v>
      </c>
      <c r="E80" s="3" t="s">
        <v>73</v>
      </c>
      <c r="F80" s="4">
        <v>13</v>
      </c>
      <c r="G80" s="7">
        <f t="shared" si="2"/>
        <v>87</v>
      </c>
      <c r="H80" s="4">
        <v>4</v>
      </c>
      <c r="I80" s="4"/>
      <c r="J80" s="3"/>
    </row>
    <row r="81" spans="1:10" x14ac:dyDescent="0.25">
      <c r="A81" s="3" t="s">
        <v>229</v>
      </c>
      <c r="B81" s="6" t="s">
        <v>230</v>
      </c>
      <c r="C81" s="3" t="s">
        <v>205</v>
      </c>
      <c r="D81" s="3" t="s">
        <v>73</v>
      </c>
      <c r="E81" s="3" t="s">
        <v>73</v>
      </c>
      <c r="F81" s="4">
        <v>27</v>
      </c>
      <c r="G81" s="7">
        <f t="shared" si="2"/>
        <v>73</v>
      </c>
      <c r="H81" s="4">
        <v>4</v>
      </c>
      <c r="I81" s="4">
        <v>5</v>
      </c>
      <c r="J81" s="3"/>
    </row>
    <row r="82" spans="1:10" x14ac:dyDescent="0.25">
      <c r="A82" s="3" t="s">
        <v>231</v>
      </c>
      <c r="B82" s="6" t="s">
        <v>232</v>
      </c>
      <c r="C82" s="3" t="s">
        <v>205</v>
      </c>
      <c r="D82" s="3" t="s">
        <v>73</v>
      </c>
      <c r="E82" s="3" t="s">
        <v>73</v>
      </c>
      <c r="F82" s="4">
        <v>20</v>
      </c>
      <c r="G82" s="7">
        <f t="shared" si="2"/>
        <v>80</v>
      </c>
      <c r="H82" s="4">
        <v>3</v>
      </c>
      <c r="I82" s="4">
        <v>5</v>
      </c>
      <c r="J82" s="3"/>
    </row>
    <row r="83" spans="1:10" x14ac:dyDescent="0.25">
      <c r="A83" s="3" t="s">
        <v>233</v>
      </c>
      <c r="B83" s="6" t="s">
        <v>234</v>
      </c>
      <c r="C83" s="3" t="s">
        <v>205</v>
      </c>
      <c r="D83" s="3" t="s">
        <v>73</v>
      </c>
      <c r="E83" s="3" t="s">
        <v>73</v>
      </c>
      <c r="F83" s="4">
        <v>72</v>
      </c>
      <c r="G83" s="7">
        <f t="shared" si="2"/>
        <v>28</v>
      </c>
      <c r="H83" s="4">
        <v>4</v>
      </c>
      <c r="I83" s="4">
        <v>5</v>
      </c>
      <c r="J83" s="3"/>
    </row>
    <row r="84" spans="1:10" x14ac:dyDescent="0.25">
      <c r="A84" s="3" t="s">
        <v>235</v>
      </c>
      <c r="B84" s="6" t="s">
        <v>236</v>
      </c>
      <c r="C84" s="3" t="s">
        <v>205</v>
      </c>
      <c r="D84" s="3" t="s">
        <v>73</v>
      </c>
      <c r="E84" s="3" t="s">
        <v>73</v>
      </c>
      <c r="F84" s="4">
        <v>11</v>
      </c>
      <c r="G84" s="7">
        <f t="shared" si="2"/>
        <v>89</v>
      </c>
      <c r="H84" s="4">
        <v>3</v>
      </c>
      <c r="I84" s="4">
        <v>5</v>
      </c>
      <c r="J84" s="3"/>
    </row>
    <row r="85" spans="1:10" x14ac:dyDescent="0.25">
      <c r="A85" s="3" t="s">
        <v>237</v>
      </c>
      <c r="B85" s="6" t="s">
        <v>238</v>
      </c>
      <c r="C85" s="3" t="s">
        <v>205</v>
      </c>
      <c r="D85" s="3" t="s">
        <v>73</v>
      </c>
      <c r="E85" s="3" t="s">
        <v>73</v>
      </c>
      <c r="F85" s="4">
        <v>31</v>
      </c>
      <c r="G85" s="7">
        <f t="shared" si="2"/>
        <v>69</v>
      </c>
      <c r="H85" s="4">
        <v>5</v>
      </c>
      <c r="I85" s="4">
        <v>5</v>
      </c>
      <c r="J8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89"/>
  <sheetViews>
    <sheetView rightToLeft="1" tabSelected="1" workbookViewId="0">
      <pane xSplit="3" ySplit="2" topLeftCell="AB3" activePane="bottomRight" state="frozen"/>
      <selection pane="topRight"/>
      <selection pane="bottomLeft"/>
      <selection pane="bottomRight" activeCell="AC2" sqref="AC2"/>
    </sheetView>
  </sheetViews>
  <sheetFormatPr defaultRowHeight="13.8" x14ac:dyDescent="0.25"/>
  <cols>
    <col min="1" max="1" width="13" customWidth="1"/>
    <col min="2" max="2" width="26" customWidth="1"/>
    <col min="3" max="3" width="7" customWidth="1"/>
    <col min="4" max="42" width="9" customWidth="1"/>
  </cols>
  <sheetData>
    <row r="1" spans="1:52" ht="49.95" customHeight="1" x14ac:dyDescent="0.25">
      <c r="A1" s="19" t="s">
        <v>239</v>
      </c>
      <c r="B1" s="20"/>
      <c r="C1" s="20"/>
      <c r="D1" s="22" t="s">
        <v>245</v>
      </c>
      <c r="E1" s="22"/>
      <c r="F1" s="22"/>
      <c r="G1" s="22"/>
      <c r="H1" s="22"/>
      <c r="I1" s="22"/>
      <c r="J1" s="22"/>
      <c r="K1" s="22"/>
      <c r="L1" s="23"/>
      <c r="M1" s="21" t="s">
        <v>240</v>
      </c>
      <c r="N1" s="22"/>
      <c r="O1" s="22"/>
      <c r="P1" s="22"/>
      <c r="Q1" s="22"/>
      <c r="R1" s="22"/>
      <c r="S1" s="22"/>
      <c r="T1" s="22"/>
      <c r="U1" s="22" t="s">
        <v>241</v>
      </c>
      <c r="V1" s="22"/>
      <c r="W1" s="22"/>
      <c r="X1" s="22" t="s">
        <v>242</v>
      </c>
      <c r="Y1" s="22"/>
      <c r="Z1" s="22"/>
      <c r="AA1" s="22"/>
      <c r="AB1" s="22" t="s">
        <v>16</v>
      </c>
      <c r="AC1" s="22"/>
      <c r="AD1" s="22"/>
      <c r="AE1" s="22"/>
      <c r="AF1" s="22" t="s">
        <v>243</v>
      </c>
      <c r="AG1" s="22"/>
      <c r="AH1" s="22"/>
      <c r="AI1" s="22"/>
      <c r="AJ1" s="22" t="s">
        <v>244</v>
      </c>
      <c r="AK1" s="22"/>
      <c r="AL1" s="22"/>
      <c r="AM1" s="22"/>
      <c r="AN1" s="19" t="s">
        <v>246</v>
      </c>
      <c r="AO1" s="20"/>
      <c r="AP1" s="20"/>
      <c r="AQ1" s="20"/>
      <c r="AR1" s="20"/>
    </row>
    <row r="2" spans="1:52" ht="34.950000000000003" customHeight="1" thickBot="1" x14ac:dyDescent="0.3">
      <c r="A2" s="10" t="s">
        <v>60</v>
      </c>
      <c r="B2" s="10" t="s">
        <v>61</v>
      </c>
      <c r="C2" s="10" t="s">
        <v>62</v>
      </c>
      <c r="D2" s="10" t="s">
        <v>264</v>
      </c>
      <c r="E2" s="10" t="s">
        <v>265</v>
      </c>
      <c r="F2" s="10" t="s">
        <v>266</v>
      </c>
      <c r="G2" s="10" t="s">
        <v>267</v>
      </c>
      <c r="H2" s="10" t="s">
        <v>268</v>
      </c>
      <c r="I2" s="10" t="s">
        <v>269</v>
      </c>
      <c r="J2" s="10" t="s">
        <v>270</v>
      </c>
      <c r="K2" s="10" t="s">
        <v>271</v>
      </c>
      <c r="L2" s="10" t="s">
        <v>272</v>
      </c>
      <c r="M2" s="10" t="s">
        <v>247</v>
      </c>
      <c r="N2" s="10" t="s">
        <v>248</v>
      </c>
      <c r="O2" s="10" t="s">
        <v>249</v>
      </c>
      <c r="P2" s="10" t="s">
        <v>250</v>
      </c>
      <c r="Q2" s="10" t="s">
        <v>251</v>
      </c>
      <c r="R2" s="10" t="s">
        <v>252</v>
      </c>
      <c r="S2" s="10" t="s">
        <v>253</v>
      </c>
      <c r="T2" s="10" t="s">
        <v>254</v>
      </c>
      <c r="U2" s="10" t="s">
        <v>255</v>
      </c>
      <c r="V2" s="10" t="s">
        <v>256</v>
      </c>
      <c r="W2" s="10" t="s">
        <v>257</v>
      </c>
      <c r="X2" s="10" t="s">
        <v>258</v>
      </c>
      <c r="Y2" s="10" t="s">
        <v>259</v>
      </c>
      <c r="Z2" s="10" t="s">
        <v>256</v>
      </c>
      <c r="AA2" s="10" t="s">
        <v>260</v>
      </c>
      <c r="AB2" s="10" t="s">
        <v>258</v>
      </c>
      <c r="AC2" s="10" t="s">
        <v>259</v>
      </c>
      <c r="AD2" s="10" t="s">
        <v>256</v>
      </c>
      <c r="AE2" s="10" t="s">
        <v>261</v>
      </c>
      <c r="AF2" s="10" t="s">
        <v>258</v>
      </c>
      <c r="AG2" s="10" t="s">
        <v>259</v>
      </c>
      <c r="AH2" s="10" t="s">
        <v>256</v>
      </c>
      <c r="AI2" s="10" t="s">
        <v>262</v>
      </c>
      <c r="AJ2" s="10" t="s">
        <v>258</v>
      </c>
      <c r="AK2" s="10" t="s">
        <v>259</v>
      </c>
      <c r="AL2" s="10" t="s">
        <v>256</v>
      </c>
      <c r="AM2" s="10" t="s">
        <v>263</v>
      </c>
      <c r="AN2" s="10" t="s">
        <v>273</v>
      </c>
      <c r="AO2" s="10" t="s">
        <v>274</v>
      </c>
      <c r="AP2" s="10" t="s">
        <v>275</v>
      </c>
      <c r="AQ2" s="10" t="s">
        <v>276</v>
      </c>
      <c r="AR2" s="10" t="s">
        <v>277</v>
      </c>
    </row>
    <row r="3" spans="1:52" ht="14.4" thickBot="1" x14ac:dyDescent="0.3">
      <c r="A3" s="66">
        <v>214691453</v>
      </c>
      <c r="B3" s="24" t="s">
        <v>71</v>
      </c>
      <c r="C3" s="7" t="s">
        <v>72</v>
      </c>
      <c r="D3" s="30"/>
      <c r="E3" s="30"/>
      <c r="F3" s="30"/>
      <c r="G3" s="31"/>
      <c r="H3" s="31"/>
      <c r="I3" s="31"/>
      <c r="J3" s="31"/>
      <c r="K3" s="31"/>
      <c r="L3" s="32"/>
      <c r="M3" s="24"/>
      <c r="N3" s="31"/>
      <c r="O3" s="31"/>
      <c r="P3" s="31"/>
      <c r="Q3" s="31"/>
      <c r="R3" s="31"/>
      <c r="S3" s="31"/>
      <c r="T3" s="32"/>
      <c r="U3" s="26">
        <v>41</v>
      </c>
      <c r="V3" s="24"/>
      <c r="W3" s="33"/>
      <c r="X3" s="24"/>
      <c r="Y3" s="34"/>
      <c r="Z3" s="34"/>
      <c r="AA3" s="35"/>
      <c r="AB3" s="31"/>
      <c r="AC3" s="26">
        <v>17</v>
      </c>
      <c r="AD3" s="31"/>
      <c r="AE3" s="32"/>
      <c r="AF3" s="31"/>
      <c r="AG3" s="31"/>
      <c r="AH3" s="31"/>
      <c r="AI3" s="32"/>
      <c r="AJ3" s="31"/>
      <c r="AK3" s="31"/>
      <c r="AL3" s="31"/>
      <c r="AM3" s="32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</row>
    <row r="4" spans="1:52" ht="14.4" thickBot="1" x14ac:dyDescent="0.3">
      <c r="A4" s="66">
        <v>214731457</v>
      </c>
      <c r="B4" s="24" t="s">
        <v>75</v>
      </c>
      <c r="C4" s="7" t="s">
        <v>72</v>
      </c>
      <c r="D4" s="30"/>
      <c r="E4" s="30"/>
      <c r="F4" s="31"/>
      <c r="G4" s="36"/>
      <c r="H4" s="36"/>
      <c r="I4" s="31"/>
      <c r="J4" s="31"/>
      <c r="K4" s="37"/>
      <c r="L4" s="38">
        <f t="shared" ref="L4:L9" si="0">MAX(
  K4*0.2+J4*0.27+I4*0.26+H4*0.27,
  K4*0.2+H4*0.27+G4*0.26+F4*0.27,
  K4*0.2+F4*0.27+E4*0.26+D4*0.27
)</f>
        <v>0</v>
      </c>
      <c r="M4" s="39">
        <v>100</v>
      </c>
      <c r="N4" s="31"/>
      <c r="O4" s="31"/>
      <c r="P4" s="31"/>
      <c r="Q4" s="31"/>
      <c r="R4" s="31"/>
      <c r="S4" s="36"/>
      <c r="T4" s="38">
        <f t="shared" ref="T4:T9" si="1">MAX(S4*0.4+R4*0.6, Q4*0.65+P4*0.35, O4*0.4+N4*0.35+M4*0.25)</f>
        <v>25</v>
      </c>
      <c r="U4" s="26">
        <v>57</v>
      </c>
      <c r="V4" s="40">
        <v>91</v>
      </c>
      <c r="W4" s="41">
        <f t="shared" ref="W4:W9" si="2">V4*0.3+U4*0.7</f>
        <v>67.2</v>
      </c>
      <c r="X4" s="42"/>
      <c r="Y4" s="43">
        <v>85</v>
      </c>
      <c r="Z4" s="44">
        <v>95</v>
      </c>
      <c r="AA4" s="45">
        <f t="shared" ref="AA4:AA9" si="3">Z4*0.3+Y4*0.35+X4*0.35</f>
        <v>58.25</v>
      </c>
      <c r="AB4" s="37"/>
      <c r="AC4" s="26">
        <v>62</v>
      </c>
      <c r="AD4" s="36"/>
      <c r="AE4" s="38">
        <f t="shared" ref="AE4:AE9" si="4">AD4*0.3+AC4*0.35+AB4*0.35</f>
        <v>21.7</v>
      </c>
      <c r="AF4" s="37"/>
      <c r="AG4" s="31"/>
      <c r="AH4" s="36"/>
      <c r="AI4" s="38">
        <f t="shared" ref="AI4:AI9" si="5">AH4*0.3+AG4*0.35+AF4*0.35</f>
        <v>0</v>
      </c>
      <c r="AJ4" s="30"/>
      <c r="AK4" s="37"/>
      <c r="AL4" s="36"/>
      <c r="AM4" s="38">
        <f t="shared" ref="AM4:AM9" si="6">AL4*0.3+AK4*0.35+AJ4*0.35</f>
        <v>0</v>
      </c>
      <c r="AN4" s="30"/>
      <c r="AO4" s="31"/>
      <c r="AP4" s="36"/>
      <c r="AQ4" s="46">
        <f t="shared" ref="AQ4:AQ9" si="7">AP4*0.55+AO4*0.15+AN4*0.3</f>
        <v>0</v>
      </c>
      <c r="AR4" s="30"/>
      <c r="AS4" s="31"/>
      <c r="AT4" s="36"/>
      <c r="AU4" s="46">
        <f t="shared" ref="AU4:AU9" si="8">AR4*0.3+AS4*0.4+AT4*0.3</f>
        <v>0</v>
      </c>
      <c r="AV4" s="37"/>
      <c r="AW4" s="46"/>
      <c r="AX4" s="30"/>
      <c r="AY4" s="31"/>
      <c r="AZ4" s="31"/>
    </row>
    <row r="5" spans="1:52" ht="14.4" thickBot="1" x14ac:dyDescent="0.3">
      <c r="A5" s="66">
        <v>218062586</v>
      </c>
      <c r="B5" s="25" t="s">
        <v>77</v>
      </c>
      <c r="C5" s="7" t="s">
        <v>72</v>
      </c>
      <c r="D5" s="30"/>
      <c r="E5" s="30"/>
      <c r="F5" s="31"/>
      <c r="G5" s="36"/>
      <c r="H5" s="36"/>
      <c r="I5" s="31"/>
      <c r="J5" s="31"/>
      <c r="K5" s="37"/>
      <c r="L5" s="38">
        <f t="shared" si="0"/>
        <v>0</v>
      </c>
      <c r="M5" s="39">
        <v>100</v>
      </c>
      <c r="N5" s="31"/>
      <c r="O5" s="31"/>
      <c r="P5" s="31"/>
      <c r="Q5" s="31"/>
      <c r="R5" s="31"/>
      <c r="S5" s="36"/>
      <c r="T5" s="38">
        <f t="shared" si="1"/>
        <v>25</v>
      </c>
      <c r="U5" s="26">
        <v>61</v>
      </c>
      <c r="V5" s="40"/>
      <c r="W5" s="45">
        <f t="shared" si="2"/>
        <v>42.699999999999996</v>
      </c>
      <c r="X5" s="42"/>
      <c r="Y5" s="47">
        <v>70</v>
      </c>
      <c r="Z5" s="48">
        <v>95</v>
      </c>
      <c r="AA5" s="45">
        <f t="shared" si="3"/>
        <v>53</v>
      </c>
      <c r="AB5" s="37"/>
      <c r="AC5" s="26">
        <v>17</v>
      </c>
      <c r="AD5" s="36"/>
      <c r="AE5" s="38">
        <f t="shared" si="4"/>
        <v>5.9499999999999993</v>
      </c>
      <c r="AF5" s="37"/>
      <c r="AG5" s="31"/>
      <c r="AH5" s="36"/>
      <c r="AI5" s="38">
        <f t="shared" si="5"/>
        <v>0</v>
      </c>
      <c r="AJ5" s="30"/>
      <c r="AK5" s="37"/>
      <c r="AL5" s="36"/>
      <c r="AM5" s="38">
        <f t="shared" si="6"/>
        <v>0</v>
      </c>
      <c r="AN5" s="30"/>
      <c r="AO5" s="31"/>
      <c r="AP5" s="36"/>
      <c r="AQ5" s="46">
        <f t="shared" si="7"/>
        <v>0</v>
      </c>
      <c r="AR5" s="30"/>
      <c r="AS5" s="31"/>
      <c r="AT5" s="36"/>
      <c r="AU5" s="46">
        <f t="shared" si="8"/>
        <v>0</v>
      </c>
      <c r="AV5" s="37"/>
      <c r="AW5" s="46"/>
      <c r="AX5" s="30"/>
      <c r="AY5" s="31"/>
      <c r="AZ5" s="31"/>
    </row>
    <row r="6" spans="1:52" ht="14.4" thickBot="1" x14ac:dyDescent="0.3">
      <c r="A6" s="66">
        <v>214285223</v>
      </c>
      <c r="B6" s="25" t="s">
        <v>79</v>
      </c>
      <c r="C6" s="7" t="s">
        <v>72</v>
      </c>
      <c r="D6" s="30"/>
      <c r="E6" s="30"/>
      <c r="F6" s="31"/>
      <c r="G6" s="36"/>
      <c r="H6" s="36"/>
      <c r="I6" s="31"/>
      <c r="J6" s="31"/>
      <c r="K6" s="37"/>
      <c r="L6" s="38">
        <f t="shared" si="0"/>
        <v>0</v>
      </c>
      <c r="M6" s="39">
        <v>98</v>
      </c>
      <c r="N6" s="31"/>
      <c r="O6" s="31"/>
      <c r="P6" s="31"/>
      <c r="Q6" s="31"/>
      <c r="R6" s="31"/>
      <c r="S6" s="36"/>
      <c r="T6" s="38">
        <f t="shared" si="1"/>
        <v>24.5</v>
      </c>
      <c r="U6" s="26">
        <v>0</v>
      </c>
      <c r="V6" s="40"/>
      <c r="W6" s="45">
        <f t="shared" si="2"/>
        <v>0</v>
      </c>
      <c r="X6" s="42"/>
      <c r="Y6" s="49">
        <v>56</v>
      </c>
      <c r="Z6" s="43">
        <v>100</v>
      </c>
      <c r="AA6" s="45">
        <f t="shared" si="3"/>
        <v>49.599999999999994</v>
      </c>
      <c r="AB6" s="37"/>
      <c r="AC6" s="26">
        <v>0</v>
      </c>
      <c r="AD6" s="36"/>
      <c r="AE6" s="38">
        <f t="shared" si="4"/>
        <v>0</v>
      </c>
      <c r="AF6" s="37"/>
      <c r="AG6" s="31"/>
      <c r="AH6" s="36"/>
      <c r="AI6" s="38">
        <f t="shared" si="5"/>
        <v>0</v>
      </c>
      <c r="AJ6" s="30"/>
      <c r="AK6" s="37"/>
      <c r="AL6" s="36"/>
      <c r="AM6" s="38">
        <f t="shared" si="6"/>
        <v>0</v>
      </c>
      <c r="AN6" s="30"/>
      <c r="AO6" s="31"/>
      <c r="AP6" s="36"/>
      <c r="AQ6" s="46">
        <f t="shared" si="7"/>
        <v>0</v>
      </c>
      <c r="AR6" s="30"/>
      <c r="AS6" s="31"/>
      <c r="AT6" s="36"/>
      <c r="AU6" s="46">
        <f t="shared" si="8"/>
        <v>0</v>
      </c>
      <c r="AV6" s="37"/>
      <c r="AW6" s="46"/>
      <c r="AX6" s="30"/>
      <c r="AY6" s="31"/>
      <c r="AZ6" s="31"/>
    </row>
    <row r="7" spans="1:52" ht="14.4" thickBot="1" x14ac:dyDescent="0.3">
      <c r="A7" s="66">
        <v>214574972</v>
      </c>
      <c r="B7" s="25" t="s">
        <v>81</v>
      </c>
      <c r="C7" s="7" t="s">
        <v>72</v>
      </c>
      <c r="D7" s="30"/>
      <c r="E7" s="30"/>
      <c r="F7" s="31"/>
      <c r="G7" s="36"/>
      <c r="H7" s="36"/>
      <c r="I7" s="31"/>
      <c r="J7" s="31"/>
      <c r="K7" s="37"/>
      <c r="L7" s="38">
        <f t="shared" si="0"/>
        <v>0</v>
      </c>
      <c r="M7" s="39">
        <v>98</v>
      </c>
      <c r="N7" s="31"/>
      <c r="O7" s="31"/>
      <c r="P7" s="31"/>
      <c r="Q7" s="31"/>
      <c r="R7" s="31"/>
      <c r="S7" s="36"/>
      <c r="T7" s="38">
        <f t="shared" si="1"/>
        <v>24.5</v>
      </c>
      <c r="U7" s="26">
        <v>0</v>
      </c>
      <c r="V7" s="40"/>
      <c r="W7" s="45">
        <f t="shared" si="2"/>
        <v>0</v>
      </c>
      <c r="X7" s="42"/>
      <c r="Y7" s="49">
        <v>56</v>
      </c>
      <c r="Z7" s="24">
        <v>100</v>
      </c>
      <c r="AA7" s="45">
        <f t="shared" si="3"/>
        <v>49.599999999999994</v>
      </c>
      <c r="AB7" s="37"/>
      <c r="AC7" s="26">
        <v>11</v>
      </c>
      <c r="AD7" s="36"/>
      <c r="AE7" s="38">
        <f t="shared" si="4"/>
        <v>3.8499999999999996</v>
      </c>
      <c r="AF7" s="37"/>
      <c r="AG7" s="31"/>
      <c r="AH7" s="36"/>
      <c r="AI7" s="38">
        <f t="shared" si="5"/>
        <v>0</v>
      </c>
      <c r="AJ7" s="30"/>
      <c r="AK7" s="37"/>
      <c r="AL7" s="36"/>
      <c r="AM7" s="38">
        <f t="shared" si="6"/>
        <v>0</v>
      </c>
      <c r="AN7" s="30"/>
      <c r="AO7" s="31"/>
      <c r="AP7" s="36"/>
      <c r="AQ7" s="46">
        <f t="shared" si="7"/>
        <v>0</v>
      </c>
      <c r="AR7" s="30"/>
      <c r="AS7" s="31"/>
      <c r="AT7" s="36"/>
      <c r="AU7" s="46">
        <f t="shared" si="8"/>
        <v>0</v>
      </c>
      <c r="AV7" s="37"/>
      <c r="AW7" s="46"/>
      <c r="AX7" s="30"/>
      <c r="AY7" s="31"/>
      <c r="AZ7" s="31"/>
    </row>
    <row r="8" spans="1:52" ht="14.4" thickBot="1" x14ac:dyDescent="0.3">
      <c r="A8" s="66">
        <v>214150534</v>
      </c>
      <c r="B8" s="25" t="s">
        <v>83</v>
      </c>
      <c r="C8" s="7" t="s">
        <v>72</v>
      </c>
      <c r="D8" s="30"/>
      <c r="E8" s="30"/>
      <c r="F8" s="31"/>
      <c r="G8" s="36"/>
      <c r="H8" s="36"/>
      <c r="I8" s="31"/>
      <c r="J8" s="31"/>
      <c r="K8" s="37"/>
      <c r="L8" s="38">
        <f t="shared" si="0"/>
        <v>0</v>
      </c>
      <c r="M8" s="39">
        <v>55</v>
      </c>
      <c r="N8" s="31"/>
      <c r="O8" s="31"/>
      <c r="P8" s="31"/>
      <c r="Q8" s="31"/>
      <c r="R8" s="31"/>
      <c r="S8" s="36"/>
      <c r="T8" s="38">
        <f t="shared" si="1"/>
        <v>13.75</v>
      </c>
      <c r="U8" s="26">
        <v>42</v>
      </c>
      <c r="V8" s="40"/>
      <c r="W8" s="45">
        <f t="shared" si="2"/>
        <v>29.4</v>
      </c>
      <c r="X8" s="42"/>
      <c r="Y8" s="49">
        <v>56</v>
      </c>
      <c r="Z8" s="24">
        <v>95</v>
      </c>
      <c r="AA8" s="45">
        <f t="shared" si="3"/>
        <v>48.099999999999994</v>
      </c>
      <c r="AB8" s="37"/>
      <c r="AC8" s="26">
        <v>24</v>
      </c>
      <c r="AD8" s="36"/>
      <c r="AE8" s="38">
        <f t="shared" si="4"/>
        <v>8.3999999999999986</v>
      </c>
      <c r="AF8" s="37"/>
      <c r="AG8" s="31"/>
      <c r="AH8" s="36"/>
      <c r="AI8" s="38">
        <f t="shared" si="5"/>
        <v>0</v>
      </c>
      <c r="AJ8" s="30"/>
      <c r="AK8" s="37"/>
      <c r="AL8" s="36"/>
      <c r="AM8" s="38">
        <f t="shared" si="6"/>
        <v>0</v>
      </c>
      <c r="AN8" s="30"/>
      <c r="AO8" s="31"/>
      <c r="AP8" s="36"/>
      <c r="AQ8" s="46">
        <f t="shared" si="7"/>
        <v>0</v>
      </c>
      <c r="AR8" s="30"/>
      <c r="AS8" s="31"/>
      <c r="AT8" s="36"/>
      <c r="AU8" s="46">
        <f t="shared" si="8"/>
        <v>0</v>
      </c>
      <c r="AV8" s="37"/>
      <c r="AW8" s="46"/>
      <c r="AX8" s="30"/>
      <c r="AY8" s="31"/>
      <c r="AZ8" s="31"/>
    </row>
    <row r="9" spans="1:52" ht="14.4" thickBot="1" x14ac:dyDescent="0.3">
      <c r="A9" s="66">
        <v>346452816</v>
      </c>
      <c r="B9" s="25" t="s">
        <v>285</v>
      </c>
      <c r="C9" s="7" t="s">
        <v>72</v>
      </c>
      <c r="D9" s="30"/>
      <c r="E9" s="30"/>
      <c r="F9" s="31"/>
      <c r="G9" s="36"/>
      <c r="H9" s="36"/>
      <c r="I9" s="31"/>
      <c r="J9" s="31"/>
      <c r="K9" s="37"/>
      <c r="L9" s="38">
        <f t="shared" si="0"/>
        <v>0</v>
      </c>
      <c r="M9" s="39"/>
      <c r="N9" s="31"/>
      <c r="O9" s="31"/>
      <c r="P9" s="31"/>
      <c r="Q9" s="31"/>
      <c r="R9" s="31"/>
      <c r="S9" s="36"/>
      <c r="T9" s="38">
        <f t="shared" si="1"/>
        <v>0</v>
      </c>
      <c r="U9" s="26">
        <v>0</v>
      </c>
      <c r="V9" s="40"/>
      <c r="W9" s="45">
        <f t="shared" si="2"/>
        <v>0</v>
      </c>
      <c r="X9" s="42"/>
      <c r="Y9" s="49">
        <v>56</v>
      </c>
      <c r="Z9" s="24">
        <v>90</v>
      </c>
      <c r="AA9" s="45">
        <f t="shared" si="3"/>
        <v>46.599999999999994</v>
      </c>
      <c r="AB9" s="37"/>
      <c r="AC9" s="26">
        <v>0</v>
      </c>
      <c r="AD9" s="36"/>
      <c r="AE9" s="38">
        <f t="shared" si="4"/>
        <v>0</v>
      </c>
      <c r="AF9" s="37"/>
      <c r="AG9" s="31"/>
      <c r="AH9" s="36"/>
      <c r="AI9" s="38">
        <f t="shared" si="5"/>
        <v>0</v>
      </c>
      <c r="AJ9" s="30"/>
      <c r="AK9" s="37"/>
      <c r="AL9" s="36"/>
      <c r="AM9" s="38">
        <f t="shared" si="6"/>
        <v>0</v>
      </c>
      <c r="AN9" s="30"/>
      <c r="AO9" s="31"/>
      <c r="AP9" s="36"/>
      <c r="AQ9" s="46">
        <f t="shared" si="7"/>
        <v>0</v>
      </c>
      <c r="AR9" s="30"/>
      <c r="AS9" s="31"/>
      <c r="AT9" s="36"/>
      <c r="AU9" s="46">
        <f t="shared" si="8"/>
        <v>0</v>
      </c>
      <c r="AV9" s="37"/>
      <c r="AW9" s="46"/>
      <c r="AX9" s="30"/>
      <c r="AY9" s="31"/>
      <c r="AZ9" s="31"/>
    </row>
    <row r="10" spans="1:52" ht="14.4" thickBot="1" x14ac:dyDescent="0.3">
      <c r="A10" s="66">
        <v>214818452</v>
      </c>
      <c r="B10" s="26" t="s">
        <v>286</v>
      </c>
      <c r="C10" s="7" t="s">
        <v>72</v>
      </c>
      <c r="D10" s="30"/>
      <c r="E10" s="30"/>
      <c r="F10" s="31"/>
      <c r="G10" s="36"/>
      <c r="H10" s="36"/>
      <c r="I10" s="31"/>
      <c r="J10" s="31"/>
      <c r="K10" s="37"/>
      <c r="L10" s="38"/>
      <c r="M10" s="39"/>
      <c r="N10" s="31"/>
      <c r="O10" s="31"/>
      <c r="P10" s="31"/>
      <c r="Q10" s="31"/>
      <c r="R10" s="31"/>
      <c r="S10" s="36"/>
      <c r="T10" s="38"/>
      <c r="U10" s="26">
        <v>55</v>
      </c>
      <c r="V10" s="40"/>
      <c r="W10" s="45"/>
      <c r="X10" s="42"/>
      <c r="Y10" s="24"/>
      <c r="Z10" s="24"/>
      <c r="AA10" s="45"/>
      <c r="AB10" s="37"/>
      <c r="AC10" s="26">
        <v>52</v>
      </c>
      <c r="AD10" s="36"/>
      <c r="AE10" s="38"/>
      <c r="AF10" s="37"/>
      <c r="AG10" s="31"/>
      <c r="AH10" s="36"/>
      <c r="AI10" s="38"/>
      <c r="AJ10" s="30"/>
      <c r="AK10" s="37"/>
      <c r="AL10" s="36"/>
      <c r="AM10" s="38"/>
      <c r="AN10" s="30"/>
      <c r="AO10" s="31"/>
      <c r="AP10" s="36"/>
      <c r="AQ10" s="46"/>
      <c r="AR10" s="30"/>
      <c r="AS10" s="31"/>
      <c r="AT10" s="36"/>
      <c r="AU10" s="46"/>
      <c r="AV10" s="37"/>
      <c r="AW10" s="46"/>
      <c r="AX10" s="30"/>
      <c r="AY10" s="31"/>
      <c r="AZ10" s="31"/>
    </row>
    <row r="11" spans="1:52" ht="14.4" thickBot="1" x14ac:dyDescent="0.3">
      <c r="A11" s="66">
        <v>345672158</v>
      </c>
      <c r="B11" s="25" t="s">
        <v>86</v>
      </c>
      <c r="C11" s="7" t="s">
        <v>72</v>
      </c>
      <c r="D11" s="30"/>
      <c r="E11" s="30"/>
      <c r="F11" s="31"/>
      <c r="G11" s="36"/>
      <c r="H11" s="36"/>
      <c r="I11" s="31"/>
      <c r="J11" s="31"/>
      <c r="K11" s="37"/>
      <c r="L11" s="38">
        <f t="shared" ref="L11:L65" si="9">MAX(
  K11*0.2+J11*0.27+I11*0.26+H11*0.27,
  K11*0.2+H11*0.27+G11*0.26+F11*0.27,
  K11*0.2+F11*0.27+E11*0.26+D11*0.27
)</f>
        <v>0</v>
      </c>
      <c r="M11" s="39"/>
      <c r="N11" s="31"/>
      <c r="O11" s="31"/>
      <c r="P11" s="31"/>
      <c r="Q11" s="31"/>
      <c r="R11" s="31"/>
      <c r="S11" s="36"/>
      <c r="T11" s="38">
        <f t="shared" ref="T11:T65" si="10">MAX(S11*0.4+R11*0.6, Q11*0.65+P11*0.35, O11*0.4+N11*0.35+M11*0.25)</f>
        <v>0</v>
      </c>
      <c r="U11" s="26">
        <v>0</v>
      </c>
      <c r="V11" s="40"/>
      <c r="W11" s="45">
        <f t="shared" ref="W11:W65" si="11">V11*0.3+U11*0.7</f>
        <v>0</v>
      </c>
      <c r="X11" s="42"/>
      <c r="Y11" s="24"/>
      <c r="Z11" s="24"/>
      <c r="AA11" s="45">
        <f t="shared" ref="AA11:AA65" si="12">Z11*0.3+Y11*0.35+X11*0.35</f>
        <v>0</v>
      </c>
      <c r="AB11" s="37"/>
      <c r="AC11" s="26"/>
      <c r="AD11" s="36"/>
      <c r="AE11" s="38">
        <f t="shared" ref="AE11:AE65" si="13">AD11*0.3+AC11*0.35+AB11*0.35</f>
        <v>0</v>
      </c>
      <c r="AF11" s="37"/>
      <c r="AG11" s="31"/>
      <c r="AH11" s="36"/>
      <c r="AI11" s="38">
        <f t="shared" ref="AI11:AI65" si="14">AH11*0.3+AG11*0.35+AF11*0.35</f>
        <v>0</v>
      </c>
      <c r="AJ11" s="30"/>
      <c r="AK11" s="37"/>
      <c r="AL11" s="36"/>
      <c r="AM11" s="38">
        <f t="shared" ref="AM11:AM65" si="15">AL11*0.3+AK11*0.35+AJ11*0.35</f>
        <v>0</v>
      </c>
      <c r="AN11" s="30"/>
      <c r="AO11" s="31"/>
      <c r="AP11" s="36"/>
      <c r="AQ11" s="46">
        <f t="shared" ref="AQ11:AQ65" si="16">AP11*0.55+AO11*0.15+AN11*0.3</f>
        <v>0</v>
      </c>
      <c r="AR11" s="30"/>
      <c r="AS11" s="31"/>
      <c r="AT11" s="36"/>
      <c r="AU11" s="46">
        <f t="shared" ref="AU11:AU65" si="17">AR11*0.3+AS11*0.4+AT11*0.3</f>
        <v>0</v>
      </c>
      <c r="AV11" s="37"/>
      <c r="AW11" s="46"/>
      <c r="AX11" s="30"/>
      <c r="AY11" s="31"/>
      <c r="AZ11" s="31"/>
    </row>
    <row r="12" spans="1:52" ht="14.4" thickBot="1" x14ac:dyDescent="0.3">
      <c r="A12" s="66">
        <v>214264665</v>
      </c>
      <c r="B12" s="25" t="s">
        <v>89</v>
      </c>
      <c r="C12" s="7" t="s">
        <v>72</v>
      </c>
      <c r="D12" s="30"/>
      <c r="E12" s="30"/>
      <c r="F12" s="31"/>
      <c r="G12" s="36"/>
      <c r="H12" s="36"/>
      <c r="I12" s="31"/>
      <c r="J12" s="31"/>
      <c r="K12" s="37"/>
      <c r="L12" s="38">
        <f t="shared" si="9"/>
        <v>0</v>
      </c>
      <c r="M12" s="39">
        <v>100</v>
      </c>
      <c r="N12" s="31"/>
      <c r="O12" s="31"/>
      <c r="P12" s="31"/>
      <c r="Q12" s="31"/>
      <c r="R12" s="31"/>
      <c r="S12" s="36"/>
      <c r="T12" s="38">
        <f t="shared" si="10"/>
        <v>25</v>
      </c>
      <c r="U12" s="26">
        <v>62</v>
      </c>
      <c r="V12" s="40">
        <v>76</v>
      </c>
      <c r="W12" s="45">
        <f t="shared" si="11"/>
        <v>66.2</v>
      </c>
      <c r="X12" s="42"/>
      <c r="Y12" s="50">
        <v>90</v>
      </c>
      <c r="Z12" s="24">
        <v>100</v>
      </c>
      <c r="AA12" s="45">
        <f t="shared" si="12"/>
        <v>61.5</v>
      </c>
      <c r="AB12" s="37"/>
      <c r="AC12" s="26">
        <v>43</v>
      </c>
      <c r="AD12" s="36"/>
      <c r="AE12" s="38">
        <f t="shared" si="13"/>
        <v>15.049999999999999</v>
      </c>
      <c r="AF12" s="37"/>
      <c r="AG12" s="31"/>
      <c r="AH12" s="36"/>
      <c r="AI12" s="38">
        <f t="shared" si="14"/>
        <v>0</v>
      </c>
      <c r="AJ12" s="30"/>
      <c r="AK12" s="37"/>
      <c r="AL12" s="36"/>
      <c r="AM12" s="38">
        <f t="shared" si="15"/>
        <v>0</v>
      </c>
      <c r="AN12" s="30"/>
      <c r="AO12" s="31"/>
      <c r="AP12" s="36"/>
      <c r="AQ12" s="46">
        <f t="shared" si="16"/>
        <v>0</v>
      </c>
      <c r="AR12" s="30"/>
      <c r="AS12" s="31"/>
      <c r="AT12" s="36"/>
      <c r="AU12" s="46">
        <f t="shared" si="17"/>
        <v>0</v>
      </c>
      <c r="AV12" s="37"/>
      <c r="AW12" s="46"/>
      <c r="AX12" s="30"/>
      <c r="AY12" s="31"/>
      <c r="AZ12" s="31"/>
    </row>
    <row r="13" spans="1:52" ht="14.4" thickBot="1" x14ac:dyDescent="0.3">
      <c r="A13" s="66">
        <v>214151748</v>
      </c>
      <c r="B13" s="25" t="s">
        <v>91</v>
      </c>
      <c r="C13" s="7" t="s">
        <v>72</v>
      </c>
      <c r="D13" s="30"/>
      <c r="E13" s="30"/>
      <c r="F13" s="31"/>
      <c r="G13" s="36"/>
      <c r="H13" s="36"/>
      <c r="I13" s="31"/>
      <c r="J13" s="31"/>
      <c r="K13" s="37"/>
      <c r="L13" s="38">
        <f t="shared" si="9"/>
        <v>0</v>
      </c>
      <c r="M13" s="39">
        <v>100</v>
      </c>
      <c r="N13" s="31"/>
      <c r="O13" s="31"/>
      <c r="P13" s="31"/>
      <c r="Q13" s="31"/>
      <c r="R13" s="31"/>
      <c r="S13" s="36"/>
      <c r="T13" s="38">
        <f t="shared" si="10"/>
        <v>25</v>
      </c>
      <c r="U13" s="26">
        <v>50</v>
      </c>
      <c r="V13" s="40">
        <v>67</v>
      </c>
      <c r="W13" s="45">
        <f t="shared" si="11"/>
        <v>55.099999999999994</v>
      </c>
      <c r="X13" s="42"/>
      <c r="Y13" s="50">
        <v>90</v>
      </c>
      <c r="Z13" s="24">
        <v>100</v>
      </c>
      <c r="AA13" s="45">
        <f t="shared" si="12"/>
        <v>61.5</v>
      </c>
      <c r="AB13" s="37"/>
      <c r="AC13" s="26">
        <v>28</v>
      </c>
      <c r="AD13" s="36"/>
      <c r="AE13" s="38">
        <f t="shared" si="13"/>
        <v>9.7999999999999989</v>
      </c>
      <c r="AF13" s="37"/>
      <c r="AG13" s="31"/>
      <c r="AH13" s="36"/>
      <c r="AI13" s="38">
        <f t="shared" si="14"/>
        <v>0</v>
      </c>
      <c r="AJ13" s="30"/>
      <c r="AK13" s="37"/>
      <c r="AL13" s="36"/>
      <c r="AM13" s="38">
        <f t="shared" si="15"/>
        <v>0</v>
      </c>
      <c r="AN13" s="30"/>
      <c r="AO13" s="31"/>
      <c r="AP13" s="36"/>
      <c r="AQ13" s="46">
        <f t="shared" si="16"/>
        <v>0</v>
      </c>
      <c r="AR13" s="30"/>
      <c r="AS13" s="31"/>
      <c r="AT13" s="36"/>
      <c r="AU13" s="46">
        <f t="shared" si="17"/>
        <v>0</v>
      </c>
      <c r="AV13" s="37"/>
      <c r="AW13" s="46"/>
      <c r="AX13" s="30"/>
      <c r="AY13" s="31"/>
      <c r="AZ13" s="31"/>
    </row>
    <row r="14" spans="1:52" ht="14.4" thickBot="1" x14ac:dyDescent="0.3">
      <c r="A14" s="66">
        <v>213506165</v>
      </c>
      <c r="B14" s="25" t="s">
        <v>93</v>
      </c>
      <c r="C14" s="7" t="s">
        <v>72</v>
      </c>
      <c r="D14" s="30"/>
      <c r="E14" s="30"/>
      <c r="F14" s="31"/>
      <c r="G14" s="36"/>
      <c r="H14" s="36"/>
      <c r="I14" s="31"/>
      <c r="J14" s="31"/>
      <c r="K14" s="37"/>
      <c r="L14" s="38">
        <f t="shared" si="9"/>
        <v>0</v>
      </c>
      <c r="M14" s="39">
        <v>100</v>
      </c>
      <c r="N14" s="31"/>
      <c r="O14" s="31"/>
      <c r="P14" s="31"/>
      <c r="Q14" s="31"/>
      <c r="R14" s="31"/>
      <c r="S14" s="36"/>
      <c r="T14" s="38">
        <f t="shared" si="10"/>
        <v>25</v>
      </c>
      <c r="U14" s="26">
        <v>40</v>
      </c>
      <c r="V14" s="40">
        <v>88</v>
      </c>
      <c r="W14" s="45">
        <f t="shared" si="11"/>
        <v>54.4</v>
      </c>
      <c r="X14" s="42"/>
      <c r="Y14" s="51">
        <v>80</v>
      </c>
      <c r="Z14" s="24">
        <v>85</v>
      </c>
      <c r="AA14" s="45">
        <f t="shared" si="12"/>
        <v>53.5</v>
      </c>
      <c r="AB14" s="37"/>
      <c r="AC14" s="26">
        <v>42</v>
      </c>
      <c r="AD14" s="36"/>
      <c r="AE14" s="38">
        <f t="shared" si="13"/>
        <v>14.7</v>
      </c>
      <c r="AF14" s="37"/>
      <c r="AG14" s="31"/>
      <c r="AH14" s="36"/>
      <c r="AI14" s="38">
        <f t="shared" si="14"/>
        <v>0</v>
      </c>
      <c r="AJ14" s="30"/>
      <c r="AK14" s="37"/>
      <c r="AL14" s="36"/>
      <c r="AM14" s="38">
        <f t="shared" si="15"/>
        <v>0</v>
      </c>
      <c r="AN14" s="30"/>
      <c r="AO14" s="31"/>
      <c r="AP14" s="36"/>
      <c r="AQ14" s="46">
        <f t="shared" si="16"/>
        <v>0</v>
      </c>
      <c r="AR14" s="30"/>
      <c r="AS14" s="31"/>
      <c r="AT14" s="36"/>
      <c r="AU14" s="46">
        <f t="shared" si="17"/>
        <v>0</v>
      </c>
      <c r="AV14" s="37"/>
      <c r="AW14" s="46"/>
      <c r="AX14" s="30"/>
      <c r="AY14" s="31"/>
      <c r="AZ14" s="31"/>
    </row>
    <row r="15" spans="1:52" ht="14.4" thickBot="1" x14ac:dyDescent="0.3">
      <c r="A15" s="66">
        <v>213192073</v>
      </c>
      <c r="B15" s="25" t="s">
        <v>95</v>
      </c>
      <c r="C15" s="7" t="s">
        <v>72</v>
      </c>
      <c r="D15" s="30"/>
      <c r="E15" s="30"/>
      <c r="F15" s="31"/>
      <c r="G15" s="36"/>
      <c r="H15" s="36"/>
      <c r="I15" s="31"/>
      <c r="J15" s="31"/>
      <c r="K15" s="37"/>
      <c r="L15" s="38">
        <f t="shared" si="9"/>
        <v>0</v>
      </c>
      <c r="M15" s="39">
        <v>94</v>
      </c>
      <c r="N15" s="31"/>
      <c r="O15" s="31"/>
      <c r="P15" s="31"/>
      <c r="Q15" s="31"/>
      <c r="R15" s="31"/>
      <c r="S15" s="36"/>
      <c r="T15" s="38">
        <f t="shared" si="10"/>
        <v>23.5</v>
      </c>
      <c r="U15" s="26">
        <v>0</v>
      </c>
      <c r="V15" s="40"/>
      <c r="W15" s="45">
        <f t="shared" si="11"/>
        <v>0</v>
      </c>
      <c r="X15" s="42"/>
      <c r="Y15" s="49">
        <v>56</v>
      </c>
      <c r="Z15" s="24">
        <v>100</v>
      </c>
      <c r="AA15" s="45">
        <f t="shared" si="12"/>
        <v>49.599999999999994</v>
      </c>
      <c r="AB15" s="37"/>
      <c r="AC15" s="26">
        <v>0</v>
      </c>
      <c r="AD15" s="36"/>
      <c r="AE15" s="38">
        <f t="shared" si="13"/>
        <v>0</v>
      </c>
      <c r="AF15" s="37"/>
      <c r="AG15" s="31"/>
      <c r="AH15" s="36"/>
      <c r="AI15" s="38">
        <f t="shared" si="14"/>
        <v>0</v>
      </c>
      <c r="AJ15" s="30"/>
      <c r="AK15" s="37"/>
      <c r="AL15" s="36"/>
      <c r="AM15" s="38">
        <f t="shared" si="15"/>
        <v>0</v>
      </c>
      <c r="AN15" s="30"/>
      <c r="AO15" s="31"/>
      <c r="AP15" s="36"/>
      <c r="AQ15" s="46">
        <f t="shared" si="16"/>
        <v>0</v>
      </c>
      <c r="AR15" s="30"/>
      <c r="AS15" s="31"/>
      <c r="AT15" s="36"/>
      <c r="AU15" s="46">
        <f t="shared" si="17"/>
        <v>0</v>
      </c>
      <c r="AV15" s="37"/>
      <c r="AW15" s="46"/>
      <c r="AX15" s="30"/>
      <c r="AY15" s="31"/>
      <c r="AZ15" s="31"/>
    </row>
    <row r="16" spans="1:52" ht="14.4" thickBot="1" x14ac:dyDescent="0.3">
      <c r="A16" s="66">
        <v>214041790</v>
      </c>
      <c r="B16" s="25" t="s">
        <v>99</v>
      </c>
      <c r="C16" s="7" t="s">
        <v>72</v>
      </c>
      <c r="D16" s="30"/>
      <c r="E16" s="30"/>
      <c r="F16" s="31"/>
      <c r="G16" s="36"/>
      <c r="H16" s="36"/>
      <c r="I16" s="31"/>
      <c r="J16" s="31"/>
      <c r="K16" s="37"/>
      <c r="L16" s="38">
        <f t="shared" si="9"/>
        <v>0</v>
      </c>
      <c r="M16" s="39">
        <v>100</v>
      </c>
      <c r="N16" s="31"/>
      <c r="O16" s="31"/>
      <c r="P16" s="31"/>
      <c r="Q16" s="31"/>
      <c r="R16" s="31"/>
      <c r="S16" s="36"/>
      <c r="T16" s="38">
        <f t="shared" si="10"/>
        <v>25</v>
      </c>
      <c r="U16" s="26">
        <v>71</v>
      </c>
      <c r="V16" s="40">
        <v>76</v>
      </c>
      <c r="W16" s="45">
        <f t="shared" si="11"/>
        <v>72.5</v>
      </c>
      <c r="X16" s="42"/>
      <c r="Y16" s="47">
        <v>70</v>
      </c>
      <c r="Z16" s="52">
        <v>100</v>
      </c>
      <c r="AA16" s="45">
        <f t="shared" si="12"/>
        <v>54.5</v>
      </c>
      <c r="AB16" s="37"/>
      <c r="AC16" s="26">
        <v>62</v>
      </c>
      <c r="AD16" s="36"/>
      <c r="AE16" s="38">
        <f t="shared" si="13"/>
        <v>21.7</v>
      </c>
      <c r="AF16" s="37"/>
      <c r="AG16" s="31"/>
      <c r="AH16" s="36"/>
      <c r="AI16" s="38">
        <f t="shared" si="14"/>
        <v>0</v>
      </c>
      <c r="AJ16" s="30"/>
      <c r="AK16" s="37"/>
      <c r="AL16" s="36"/>
      <c r="AM16" s="38">
        <f t="shared" si="15"/>
        <v>0</v>
      </c>
      <c r="AN16" s="30"/>
      <c r="AO16" s="31"/>
      <c r="AP16" s="36"/>
      <c r="AQ16" s="46">
        <f t="shared" si="16"/>
        <v>0</v>
      </c>
      <c r="AR16" s="30"/>
      <c r="AS16" s="31"/>
      <c r="AT16" s="36"/>
      <c r="AU16" s="46">
        <f t="shared" si="17"/>
        <v>0</v>
      </c>
      <c r="AV16" s="37"/>
      <c r="AW16" s="46"/>
      <c r="AX16" s="30"/>
      <c r="AY16" s="31"/>
      <c r="AZ16" s="31"/>
    </row>
    <row r="17" spans="1:52" ht="14.4" thickBot="1" x14ac:dyDescent="0.3">
      <c r="A17" s="66">
        <v>214041808</v>
      </c>
      <c r="B17" s="25" t="s">
        <v>101</v>
      </c>
      <c r="C17" s="7" t="s">
        <v>72</v>
      </c>
      <c r="D17" s="30"/>
      <c r="E17" s="30"/>
      <c r="F17" s="31"/>
      <c r="G17" s="36"/>
      <c r="H17" s="36"/>
      <c r="I17" s="31"/>
      <c r="J17" s="31"/>
      <c r="K17" s="37"/>
      <c r="L17" s="38">
        <f t="shared" si="9"/>
        <v>0</v>
      </c>
      <c r="M17" s="39">
        <v>100</v>
      </c>
      <c r="N17" s="31"/>
      <c r="O17" s="31"/>
      <c r="P17" s="31"/>
      <c r="Q17" s="31"/>
      <c r="R17" s="31"/>
      <c r="S17" s="36"/>
      <c r="T17" s="38">
        <f t="shared" si="10"/>
        <v>25</v>
      </c>
      <c r="U17" s="26">
        <v>51</v>
      </c>
      <c r="V17" s="40">
        <v>55</v>
      </c>
      <c r="W17" s="45">
        <f t="shared" si="11"/>
        <v>52.199999999999996</v>
      </c>
      <c r="X17" s="42"/>
      <c r="Y17" s="47">
        <v>70</v>
      </c>
      <c r="Z17" s="52">
        <v>100</v>
      </c>
      <c r="AA17" s="45">
        <f t="shared" si="12"/>
        <v>54.5</v>
      </c>
      <c r="AB17" s="37"/>
      <c r="AC17" s="26">
        <v>13</v>
      </c>
      <c r="AD17" s="36"/>
      <c r="AE17" s="38">
        <f t="shared" si="13"/>
        <v>4.55</v>
      </c>
      <c r="AF17" s="37"/>
      <c r="AG17" s="31"/>
      <c r="AH17" s="36"/>
      <c r="AI17" s="38">
        <f t="shared" si="14"/>
        <v>0</v>
      </c>
      <c r="AJ17" s="30"/>
      <c r="AK17" s="37"/>
      <c r="AL17" s="36"/>
      <c r="AM17" s="38">
        <f t="shared" si="15"/>
        <v>0</v>
      </c>
      <c r="AN17" s="30"/>
      <c r="AO17" s="31"/>
      <c r="AP17" s="36"/>
      <c r="AQ17" s="46">
        <f t="shared" si="16"/>
        <v>0</v>
      </c>
      <c r="AR17" s="30"/>
      <c r="AS17" s="31"/>
      <c r="AT17" s="36"/>
      <c r="AU17" s="46">
        <f t="shared" si="17"/>
        <v>0</v>
      </c>
      <c r="AV17" s="37"/>
      <c r="AW17" s="46"/>
      <c r="AX17" s="30"/>
      <c r="AY17" s="31"/>
      <c r="AZ17" s="31"/>
    </row>
    <row r="18" spans="1:52" ht="14.4" thickBot="1" x14ac:dyDescent="0.3">
      <c r="A18" s="66">
        <v>213233265</v>
      </c>
      <c r="B18" s="25" t="s">
        <v>103</v>
      </c>
      <c r="C18" s="7" t="s">
        <v>72</v>
      </c>
      <c r="D18" s="30"/>
      <c r="E18" s="30"/>
      <c r="F18" s="31"/>
      <c r="G18" s="36"/>
      <c r="H18" s="36"/>
      <c r="I18" s="31"/>
      <c r="J18" s="31"/>
      <c r="K18" s="37"/>
      <c r="L18" s="38">
        <f t="shared" si="9"/>
        <v>0</v>
      </c>
      <c r="M18" s="39">
        <v>83</v>
      </c>
      <c r="N18" s="31"/>
      <c r="O18" s="31"/>
      <c r="P18" s="31"/>
      <c r="Q18" s="31"/>
      <c r="R18" s="31"/>
      <c r="S18" s="36"/>
      <c r="T18" s="38">
        <f t="shared" si="10"/>
        <v>20.75</v>
      </c>
      <c r="U18" s="26">
        <v>0</v>
      </c>
      <c r="V18" s="40"/>
      <c r="W18" s="45">
        <f t="shared" si="11"/>
        <v>0</v>
      </c>
      <c r="X18" s="42"/>
      <c r="Y18" s="49">
        <v>56</v>
      </c>
      <c r="Z18" s="24">
        <v>90</v>
      </c>
      <c r="AA18" s="45">
        <f t="shared" si="12"/>
        <v>46.599999999999994</v>
      </c>
      <c r="AB18" s="37"/>
      <c r="AC18" s="26">
        <v>0</v>
      </c>
      <c r="AD18" s="36"/>
      <c r="AE18" s="38">
        <f t="shared" si="13"/>
        <v>0</v>
      </c>
      <c r="AF18" s="37"/>
      <c r="AG18" s="31"/>
      <c r="AH18" s="36"/>
      <c r="AI18" s="38">
        <f t="shared" si="14"/>
        <v>0</v>
      </c>
      <c r="AJ18" s="30"/>
      <c r="AK18" s="37"/>
      <c r="AL18" s="36"/>
      <c r="AM18" s="38">
        <f t="shared" si="15"/>
        <v>0</v>
      </c>
      <c r="AN18" s="30"/>
      <c r="AO18" s="31"/>
      <c r="AP18" s="36"/>
      <c r="AQ18" s="46">
        <f t="shared" si="16"/>
        <v>0</v>
      </c>
      <c r="AR18" s="30"/>
      <c r="AS18" s="31"/>
      <c r="AT18" s="36"/>
      <c r="AU18" s="46">
        <f t="shared" si="17"/>
        <v>0</v>
      </c>
      <c r="AV18" s="37"/>
      <c r="AW18" s="46"/>
      <c r="AX18" s="30"/>
      <c r="AY18" s="31"/>
      <c r="AZ18" s="31"/>
    </row>
    <row r="19" spans="1:52" ht="14.4" thickBot="1" x14ac:dyDescent="0.3">
      <c r="A19" s="66">
        <v>213603418</v>
      </c>
      <c r="B19" s="25" t="s">
        <v>105</v>
      </c>
      <c r="C19" s="7" t="s">
        <v>72</v>
      </c>
      <c r="D19" s="30"/>
      <c r="E19" s="30"/>
      <c r="F19" s="31"/>
      <c r="G19" s="36"/>
      <c r="H19" s="36"/>
      <c r="I19" s="31"/>
      <c r="J19" s="31"/>
      <c r="K19" s="37"/>
      <c r="L19" s="38">
        <f t="shared" si="9"/>
        <v>0</v>
      </c>
      <c r="M19" s="39"/>
      <c r="N19" s="31"/>
      <c r="O19" s="31"/>
      <c r="P19" s="31"/>
      <c r="Q19" s="31"/>
      <c r="R19" s="31"/>
      <c r="S19" s="36"/>
      <c r="T19" s="38">
        <f t="shared" si="10"/>
        <v>0</v>
      </c>
      <c r="U19" s="26">
        <v>0</v>
      </c>
      <c r="V19" s="40"/>
      <c r="W19" s="45">
        <f t="shared" si="11"/>
        <v>0</v>
      </c>
      <c r="X19" s="42"/>
      <c r="Y19" s="49">
        <v>56</v>
      </c>
      <c r="Z19" s="24">
        <v>90</v>
      </c>
      <c r="AA19" s="45">
        <f t="shared" si="12"/>
        <v>46.599999999999994</v>
      </c>
      <c r="AB19" s="37"/>
      <c r="AC19" s="26">
        <v>0</v>
      </c>
      <c r="AD19" s="36"/>
      <c r="AE19" s="38">
        <f t="shared" si="13"/>
        <v>0</v>
      </c>
      <c r="AF19" s="37"/>
      <c r="AG19" s="31"/>
      <c r="AH19" s="36"/>
      <c r="AI19" s="38">
        <f t="shared" si="14"/>
        <v>0</v>
      </c>
      <c r="AJ19" s="30"/>
      <c r="AK19" s="37"/>
      <c r="AL19" s="36"/>
      <c r="AM19" s="38">
        <f t="shared" si="15"/>
        <v>0</v>
      </c>
      <c r="AN19" s="30"/>
      <c r="AO19" s="31"/>
      <c r="AP19" s="36"/>
      <c r="AQ19" s="46">
        <f t="shared" si="16"/>
        <v>0</v>
      </c>
      <c r="AR19" s="30"/>
      <c r="AS19" s="31"/>
      <c r="AT19" s="36"/>
      <c r="AU19" s="46">
        <f t="shared" si="17"/>
        <v>0</v>
      </c>
      <c r="AV19" s="37"/>
      <c r="AW19" s="46"/>
      <c r="AX19" s="30"/>
      <c r="AY19" s="31"/>
      <c r="AZ19" s="31"/>
    </row>
    <row r="20" spans="1:52" ht="14.4" thickBot="1" x14ac:dyDescent="0.3">
      <c r="A20" s="66">
        <v>346331903</v>
      </c>
      <c r="B20" s="27" t="s">
        <v>107</v>
      </c>
      <c r="C20" s="7" t="s">
        <v>110</v>
      </c>
      <c r="D20" s="30"/>
      <c r="E20" s="30"/>
      <c r="F20" s="31"/>
      <c r="G20" s="36"/>
      <c r="H20" s="36"/>
      <c r="I20" s="31"/>
      <c r="J20" s="31"/>
      <c r="K20" s="37"/>
      <c r="L20" s="38">
        <f t="shared" si="9"/>
        <v>0</v>
      </c>
      <c r="M20" s="39"/>
      <c r="N20" s="31"/>
      <c r="O20" s="31"/>
      <c r="P20" s="31"/>
      <c r="Q20" s="31"/>
      <c r="R20" s="31"/>
      <c r="S20" s="36"/>
      <c r="T20" s="38">
        <f t="shared" si="10"/>
        <v>0</v>
      </c>
      <c r="U20" s="26"/>
      <c r="V20" s="40"/>
      <c r="W20" s="45">
        <f t="shared" si="11"/>
        <v>0</v>
      </c>
      <c r="X20" s="42"/>
      <c r="Y20" s="31"/>
      <c r="Z20" s="24"/>
      <c r="AA20" s="45">
        <f t="shared" si="12"/>
        <v>0</v>
      </c>
      <c r="AB20" s="37"/>
      <c r="AC20" s="26">
        <v>87</v>
      </c>
      <c r="AD20" s="36"/>
      <c r="AE20" s="38">
        <f t="shared" si="13"/>
        <v>30.45</v>
      </c>
      <c r="AF20" s="37"/>
      <c r="AG20" s="31"/>
      <c r="AH20" s="36"/>
      <c r="AI20" s="38">
        <f t="shared" si="14"/>
        <v>0</v>
      </c>
      <c r="AJ20" s="30"/>
      <c r="AK20" s="37"/>
      <c r="AL20" s="36"/>
      <c r="AM20" s="38">
        <f t="shared" si="15"/>
        <v>0</v>
      </c>
      <c r="AN20" s="30"/>
      <c r="AO20" s="31"/>
      <c r="AP20" s="36"/>
      <c r="AQ20" s="46">
        <f t="shared" si="16"/>
        <v>0</v>
      </c>
      <c r="AR20" s="30"/>
      <c r="AS20" s="31"/>
      <c r="AT20" s="36"/>
      <c r="AU20" s="46">
        <f t="shared" si="17"/>
        <v>0</v>
      </c>
      <c r="AV20" s="37"/>
      <c r="AW20" s="46"/>
      <c r="AX20" s="30"/>
      <c r="AY20" s="31"/>
      <c r="AZ20" s="31"/>
    </row>
    <row r="21" spans="1:52" ht="14.4" thickBot="1" x14ac:dyDescent="0.3">
      <c r="A21" s="66">
        <v>346328321</v>
      </c>
      <c r="B21" s="28" t="s">
        <v>287</v>
      </c>
      <c r="C21" s="7" t="s">
        <v>110</v>
      </c>
      <c r="D21" s="30"/>
      <c r="E21" s="30"/>
      <c r="F21" s="31"/>
      <c r="G21" s="36"/>
      <c r="H21" s="36"/>
      <c r="I21" s="31"/>
      <c r="J21" s="31"/>
      <c r="K21" s="37"/>
      <c r="L21" s="38">
        <f t="shared" si="9"/>
        <v>0</v>
      </c>
      <c r="M21" s="39"/>
      <c r="N21" s="31"/>
      <c r="O21" s="31"/>
      <c r="P21" s="31"/>
      <c r="Q21" s="31"/>
      <c r="R21" s="31"/>
      <c r="S21" s="36"/>
      <c r="T21" s="38">
        <f t="shared" si="10"/>
        <v>0</v>
      </c>
      <c r="U21" s="26">
        <v>54</v>
      </c>
      <c r="V21" s="40"/>
      <c r="W21" s="45">
        <f t="shared" si="11"/>
        <v>37.799999999999997</v>
      </c>
      <c r="X21" s="42"/>
      <c r="Y21" s="31"/>
      <c r="Z21" s="24"/>
      <c r="AA21" s="45">
        <f t="shared" si="12"/>
        <v>0</v>
      </c>
      <c r="AB21" s="37"/>
      <c r="AC21" s="26">
        <v>22</v>
      </c>
      <c r="AD21" s="36"/>
      <c r="AE21" s="38">
        <f t="shared" si="13"/>
        <v>7.6999999999999993</v>
      </c>
      <c r="AF21" s="37"/>
      <c r="AG21" s="31"/>
      <c r="AH21" s="36"/>
      <c r="AI21" s="38">
        <f t="shared" si="14"/>
        <v>0</v>
      </c>
      <c r="AJ21" s="30"/>
      <c r="AK21" s="37"/>
      <c r="AL21" s="36"/>
      <c r="AM21" s="38">
        <f t="shared" si="15"/>
        <v>0</v>
      </c>
      <c r="AN21" s="30"/>
      <c r="AO21" s="31"/>
      <c r="AP21" s="36"/>
      <c r="AQ21" s="46">
        <f t="shared" si="16"/>
        <v>0</v>
      </c>
      <c r="AR21" s="30"/>
      <c r="AS21" s="31"/>
      <c r="AT21" s="36"/>
      <c r="AU21" s="46">
        <f t="shared" si="17"/>
        <v>0</v>
      </c>
      <c r="AV21" s="37"/>
      <c r="AW21" s="46"/>
      <c r="AX21" s="30"/>
      <c r="AY21" s="31"/>
      <c r="AZ21" s="31"/>
    </row>
    <row r="22" spans="1:52" ht="14.4" thickBot="1" x14ac:dyDescent="0.3">
      <c r="A22" s="66">
        <v>213328222</v>
      </c>
      <c r="B22" s="25" t="s">
        <v>109</v>
      </c>
      <c r="C22" s="7" t="s">
        <v>110</v>
      </c>
      <c r="D22" s="30"/>
      <c r="E22" s="30"/>
      <c r="F22" s="31"/>
      <c r="G22" s="36"/>
      <c r="H22" s="36"/>
      <c r="I22" s="31"/>
      <c r="J22" s="31"/>
      <c r="K22" s="37"/>
      <c r="L22" s="38">
        <f t="shared" si="9"/>
        <v>0</v>
      </c>
      <c r="M22" s="39">
        <v>100</v>
      </c>
      <c r="N22" s="31"/>
      <c r="O22" s="31"/>
      <c r="P22" s="31"/>
      <c r="Q22" s="31"/>
      <c r="R22" s="31"/>
      <c r="S22" s="36"/>
      <c r="T22" s="38">
        <f t="shared" si="10"/>
        <v>25</v>
      </c>
      <c r="U22" s="24">
        <v>55</v>
      </c>
      <c r="V22" s="36"/>
      <c r="W22" s="45">
        <f t="shared" si="11"/>
        <v>38.5</v>
      </c>
      <c r="X22" s="42"/>
      <c r="Y22" s="48">
        <v>95</v>
      </c>
      <c r="Z22" s="24">
        <v>100</v>
      </c>
      <c r="AA22" s="45">
        <f t="shared" si="12"/>
        <v>63.25</v>
      </c>
      <c r="AB22" s="37"/>
      <c r="AC22" s="31"/>
      <c r="AD22" s="36"/>
      <c r="AE22" s="38">
        <f t="shared" si="13"/>
        <v>0</v>
      </c>
      <c r="AF22" s="37"/>
      <c r="AG22" s="31"/>
      <c r="AH22" s="36"/>
      <c r="AI22" s="38">
        <f t="shared" si="14"/>
        <v>0</v>
      </c>
      <c r="AJ22" s="30"/>
      <c r="AK22" s="37"/>
      <c r="AL22" s="36"/>
      <c r="AM22" s="38">
        <f t="shared" si="15"/>
        <v>0</v>
      </c>
      <c r="AN22" s="30"/>
      <c r="AO22" s="31"/>
      <c r="AP22" s="36"/>
      <c r="AQ22" s="46">
        <f t="shared" si="16"/>
        <v>0</v>
      </c>
      <c r="AR22" s="30"/>
      <c r="AS22" s="31"/>
      <c r="AT22" s="36"/>
      <c r="AU22" s="46">
        <f t="shared" si="17"/>
        <v>0</v>
      </c>
      <c r="AV22" s="37"/>
      <c r="AW22" s="46"/>
      <c r="AX22" s="30"/>
      <c r="AY22" s="31"/>
      <c r="AZ22" s="31"/>
    </row>
    <row r="23" spans="1:52" ht="14.4" thickBot="1" x14ac:dyDescent="0.3">
      <c r="A23" s="66">
        <v>345244198</v>
      </c>
      <c r="B23" s="25" t="s">
        <v>112</v>
      </c>
      <c r="C23" s="7" t="s">
        <v>110</v>
      </c>
      <c r="D23" s="30"/>
      <c r="E23" s="30"/>
      <c r="F23" s="31"/>
      <c r="G23" s="36"/>
      <c r="H23" s="36"/>
      <c r="I23" s="31"/>
      <c r="J23" s="31"/>
      <c r="K23" s="37"/>
      <c r="L23" s="38">
        <f t="shared" si="9"/>
        <v>0</v>
      </c>
      <c r="M23" s="39">
        <v>77</v>
      </c>
      <c r="N23" s="31"/>
      <c r="O23" s="31"/>
      <c r="P23" s="31"/>
      <c r="Q23" s="31"/>
      <c r="R23" s="31"/>
      <c r="S23" s="36"/>
      <c r="T23" s="38">
        <f t="shared" si="10"/>
        <v>19.25</v>
      </c>
      <c r="U23" s="31">
        <v>0</v>
      </c>
      <c r="V23" s="36"/>
      <c r="W23" s="45">
        <f t="shared" si="11"/>
        <v>0</v>
      </c>
      <c r="X23" s="37"/>
      <c r="Y23" s="53">
        <v>65</v>
      </c>
      <c r="Z23" s="24">
        <v>90</v>
      </c>
      <c r="AA23" s="45">
        <f t="shared" si="12"/>
        <v>49.75</v>
      </c>
      <c r="AB23" s="37"/>
      <c r="AC23" s="31"/>
      <c r="AD23" s="36"/>
      <c r="AE23" s="38">
        <f t="shared" si="13"/>
        <v>0</v>
      </c>
      <c r="AF23" s="37"/>
      <c r="AG23" s="31"/>
      <c r="AH23" s="36"/>
      <c r="AI23" s="38">
        <f t="shared" si="14"/>
        <v>0</v>
      </c>
      <c r="AJ23" s="30"/>
      <c r="AK23" s="37"/>
      <c r="AL23" s="36"/>
      <c r="AM23" s="38">
        <f t="shared" si="15"/>
        <v>0</v>
      </c>
      <c r="AN23" s="30"/>
      <c r="AO23" s="31"/>
      <c r="AP23" s="36"/>
      <c r="AQ23" s="46">
        <f t="shared" si="16"/>
        <v>0</v>
      </c>
      <c r="AR23" s="30"/>
      <c r="AS23" s="31"/>
      <c r="AT23" s="36"/>
      <c r="AU23" s="46">
        <f t="shared" si="17"/>
        <v>0</v>
      </c>
      <c r="AV23" s="37"/>
      <c r="AW23" s="46"/>
      <c r="AX23" s="30"/>
      <c r="AY23" s="31"/>
      <c r="AZ23" s="31"/>
    </row>
    <row r="24" spans="1:52" ht="14.4" thickBot="1" x14ac:dyDescent="0.3">
      <c r="A24" s="66">
        <v>328905385</v>
      </c>
      <c r="B24" s="25" t="s">
        <v>114</v>
      </c>
      <c r="C24" s="7" t="s">
        <v>110</v>
      </c>
      <c r="D24" s="30"/>
      <c r="E24" s="30"/>
      <c r="F24" s="31"/>
      <c r="G24" s="36"/>
      <c r="H24" s="36"/>
      <c r="I24" s="31"/>
      <c r="J24" s="31"/>
      <c r="K24" s="37"/>
      <c r="L24" s="38">
        <f t="shared" si="9"/>
        <v>0</v>
      </c>
      <c r="M24" s="39">
        <v>100</v>
      </c>
      <c r="N24" s="31"/>
      <c r="O24" s="31"/>
      <c r="P24" s="31"/>
      <c r="Q24" s="31"/>
      <c r="R24" s="31"/>
      <c r="S24" s="36"/>
      <c r="T24" s="38">
        <f t="shared" si="10"/>
        <v>25</v>
      </c>
      <c r="U24" s="31">
        <v>74</v>
      </c>
      <c r="V24" s="36">
        <v>88</v>
      </c>
      <c r="W24" s="45">
        <f t="shared" si="11"/>
        <v>78.199999999999989</v>
      </c>
      <c r="X24" s="37"/>
      <c r="Y24" s="52">
        <v>100</v>
      </c>
      <c r="Z24" s="24">
        <v>100</v>
      </c>
      <c r="AA24" s="45">
        <f t="shared" si="12"/>
        <v>65</v>
      </c>
      <c r="AB24" s="37"/>
      <c r="AC24" s="31"/>
      <c r="AD24" s="36"/>
      <c r="AE24" s="38">
        <f t="shared" si="13"/>
        <v>0</v>
      </c>
      <c r="AF24" s="37"/>
      <c r="AG24" s="31"/>
      <c r="AH24" s="36"/>
      <c r="AI24" s="38">
        <f t="shared" si="14"/>
        <v>0</v>
      </c>
      <c r="AJ24" s="30"/>
      <c r="AK24" s="37"/>
      <c r="AL24" s="36"/>
      <c r="AM24" s="38">
        <f t="shared" si="15"/>
        <v>0</v>
      </c>
      <c r="AN24" s="30"/>
      <c r="AO24" s="31"/>
      <c r="AP24" s="36"/>
      <c r="AQ24" s="46">
        <f t="shared" si="16"/>
        <v>0</v>
      </c>
      <c r="AR24" s="30"/>
      <c r="AS24" s="31"/>
      <c r="AT24" s="36"/>
      <c r="AU24" s="46">
        <f t="shared" si="17"/>
        <v>0</v>
      </c>
      <c r="AV24" s="37"/>
      <c r="AW24" s="46"/>
      <c r="AX24" s="30"/>
      <c r="AY24" s="31"/>
      <c r="AZ24" s="31"/>
    </row>
    <row r="25" spans="1:52" ht="14.4" thickBot="1" x14ac:dyDescent="0.3">
      <c r="A25" s="66">
        <v>214819708</v>
      </c>
      <c r="B25" s="25" t="s">
        <v>116</v>
      </c>
      <c r="C25" s="7" t="s">
        <v>123</v>
      </c>
      <c r="D25" s="30"/>
      <c r="E25" s="30"/>
      <c r="F25" s="31"/>
      <c r="G25" s="36"/>
      <c r="H25" s="36"/>
      <c r="I25" s="31"/>
      <c r="J25" s="31"/>
      <c r="K25" s="37"/>
      <c r="L25" s="38">
        <f t="shared" si="9"/>
        <v>0</v>
      </c>
      <c r="M25" s="39">
        <v>67</v>
      </c>
      <c r="N25" s="31"/>
      <c r="O25" s="31"/>
      <c r="P25" s="31"/>
      <c r="Q25" s="31"/>
      <c r="R25" s="31"/>
      <c r="S25" s="36"/>
      <c r="T25" s="38">
        <f t="shared" si="10"/>
        <v>16.75</v>
      </c>
      <c r="U25" s="31">
        <v>0</v>
      </c>
      <c r="V25" s="36">
        <v>57</v>
      </c>
      <c r="W25" s="45">
        <f t="shared" si="11"/>
        <v>17.099999999999998</v>
      </c>
      <c r="X25" s="37"/>
      <c r="Y25" s="51">
        <v>80</v>
      </c>
      <c r="Z25" s="24">
        <v>80</v>
      </c>
      <c r="AA25" s="45">
        <f t="shared" si="12"/>
        <v>52</v>
      </c>
      <c r="AB25" s="37"/>
      <c r="AC25" s="31"/>
      <c r="AD25" s="36"/>
      <c r="AE25" s="38">
        <f t="shared" si="13"/>
        <v>0</v>
      </c>
      <c r="AF25" s="37"/>
      <c r="AG25" s="31"/>
      <c r="AH25" s="36"/>
      <c r="AI25" s="38">
        <f t="shared" si="14"/>
        <v>0</v>
      </c>
      <c r="AJ25" s="30"/>
      <c r="AK25" s="37"/>
      <c r="AL25" s="36"/>
      <c r="AM25" s="38">
        <f t="shared" si="15"/>
        <v>0</v>
      </c>
      <c r="AN25" s="30"/>
      <c r="AO25" s="31"/>
      <c r="AP25" s="36"/>
      <c r="AQ25" s="46">
        <f t="shared" si="16"/>
        <v>0</v>
      </c>
      <c r="AR25" s="30"/>
      <c r="AS25" s="31"/>
      <c r="AT25" s="36"/>
      <c r="AU25" s="46">
        <f t="shared" si="17"/>
        <v>0</v>
      </c>
      <c r="AV25" s="37"/>
      <c r="AW25" s="46"/>
      <c r="AX25" s="30"/>
      <c r="AY25" s="31"/>
      <c r="AZ25" s="31"/>
    </row>
    <row r="26" spans="1:52" ht="14.4" thickBot="1" x14ac:dyDescent="0.3">
      <c r="A26" s="66">
        <v>345269781</v>
      </c>
      <c r="B26" s="25" t="s">
        <v>118</v>
      </c>
      <c r="C26" s="7" t="s">
        <v>123</v>
      </c>
      <c r="D26" s="30"/>
      <c r="E26" s="30"/>
      <c r="F26" s="31"/>
      <c r="G26" s="36"/>
      <c r="H26" s="36"/>
      <c r="I26" s="31"/>
      <c r="J26" s="31"/>
      <c r="K26" s="37"/>
      <c r="L26" s="38">
        <f t="shared" si="9"/>
        <v>0</v>
      </c>
      <c r="M26" s="39">
        <v>100</v>
      </c>
      <c r="N26" s="31"/>
      <c r="O26" s="31"/>
      <c r="P26" s="31"/>
      <c r="Q26" s="31"/>
      <c r="R26" s="31"/>
      <c r="S26" s="36"/>
      <c r="T26" s="38">
        <f t="shared" si="10"/>
        <v>25</v>
      </c>
      <c r="U26" s="31">
        <v>69</v>
      </c>
      <c r="V26" s="36">
        <v>60</v>
      </c>
      <c r="W26" s="45">
        <f t="shared" si="11"/>
        <v>66.3</v>
      </c>
      <c r="X26" s="37"/>
      <c r="Y26" s="54">
        <v>60</v>
      </c>
      <c r="Z26" s="24">
        <v>100</v>
      </c>
      <c r="AA26" s="45">
        <f t="shared" si="12"/>
        <v>51</v>
      </c>
      <c r="AB26" s="37"/>
      <c r="AC26" s="31"/>
      <c r="AD26" s="36"/>
      <c r="AE26" s="38">
        <f t="shared" si="13"/>
        <v>0</v>
      </c>
      <c r="AF26" s="37"/>
      <c r="AG26" s="31"/>
      <c r="AH26" s="36"/>
      <c r="AI26" s="38">
        <f t="shared" si="14"/>
        <v>0</v>
      </c>
      <c r="AJ26" s="30"/>
      <c r="AK26" s="37"/>
      <c r="AL26" s="36"/>
      <c r="AM26" s="38">
        <f t="shared" si="15"/>
        <v>0</v>
      </c>
      <c r="AN26" s="30"/>
      <c r="AO26" s="31"/>
      <c r="AP26" s="36"/>
      <c r="AQ26" s="46">
        <f t="shared" si="16"/>
        <v>0</v>
      </c>
      <c r="AR26" s="30"/>
      <c r="AS26" s="31"/>
      <c r="AT26" s="36"/>
      <c r="AU26" s="46">
        <f t="shared" si="17"/>
        <v>0</v>
      </c>
      <c r="AV26" s="37"/>
      <c r="AW26" s="46"/>
      <c r="AX26" s="30"/>
      <c r="AY26" s="31"/>
      <c r="AZ26" s="31"/>
    </row>
    <row r="27" spans="1:52" ht="14.4" thickBot="1" x14ac:dyDescent="0.3">
      <c r="A27" s="66">
        <v>213187214</v>
      </c>
      <c r="B27" s="25" t="s">
        <v>120</v>
      </c>
      <c r="C27" s="7" t="s">
        <v>123</v>
      </c>
      <c r="D27" s="30"/>
      <c r="E27" s="30"/>
      <c r="F27" s="31"/>
      <c r="G27" s="36"/>
      <c r="H27" s="36"/>
      <c r="I27" s="31"/>
      <c r="J27" s="31"/>
      <c r="K27" s="37"/>
      <c r="L27" s="38">
        <f t="shared" si="9"/>
        <v>0</v>
      </c>
      <c r="M27" s="39">
        <v>85</v>
      </c>
      <c r="N27" s="31"/>
      <c r="O27" s="31"/>
      <c r="P27" s="31"/>
      <c r="Q27" s="31"/>
      <c r="R27" s="31"/>
      <c r="S27" s="36"/>
      <c r="T27" s="38">
        <f t="shared" si="10"/>
        <v>21.25</v>
      </c>
      <c r="U27" s="24">
        <v>0</v>
      </c>
      <c r="V27" s="40"/>
      <c r="W27" s="45">
        <f t="shared" si="11"/>
        <v>0</v>
      </c>
      <c r="X27" s="42"/>
      <c r="Y27" s="53">
        <v>65</v>
      </c>
      <c r="Z27" s="24">
        <v>85</v>
      </c>
      <c r="AA27" s="45">
        <f t="shared" si="12"/>
        <v>48.25</v>
      </c>
      <c r="AB27" s="37"/>
      <c r="AC27" s="31"/>
      <c r="AD27" s="36"/>
      <c r="AE27" s="38">
        <f t="shared" si="13"/>
        <v>0</v>
      </c>
      <c r="AF27" s="37"/>
      <c r="AG27" s="31"/>
      <c r="AH27" s="36"/>
      <c r="AI27" s="38">
        <f t="shared" si="14"/>
        <v>0</v>
      </c>
      <c r="AJ27" s="30"/>
      <c r="AK27" s="37"/>
      <c r="AL27" s="36"/>
      <c r="AM27" s="38">
        <f t="shared" si="15"/>
        <v>0</v>
      </c>
      <c r="AN27" s="30"/>
      <c r="AO27" s="31"/>
      <c r="AP27" s="36"/>
      <c r="AQ27" s="46">
        <f t="shared" si="16"/>
        <v>0</v>
      </c>
      <c r="AR27" s="30"/>
      <c r="AS27" s="31"/>
      <c r="AT27" s="36"/>
      <c r="AU27" s="46">
        <f t="shared" si="17"/>
        <v>0</v>
      </c>
      <c r="AV27" s="37"/>
      <c r="AW27" s="46"/>
      <c r="AX27" s="30"/>
      <c r="AY27" s="31"/>
      <c r="AZ27" s="31"/>
    </row>
    <row r="28" spans="1:52" ht="14.4" thickBot="1" x14ac:dyDescent="0.3">
      <c r="A28" s="66">
        <v>326266079</v>
      </c>
      <c r="B28" s="25" t="s">
        <v>122</v>
      </c>
      <c r="C28" s="7" t="s">
        <v>123</v>
      </c>
      <c r="D28" s="30"/>
      <c r="E28" s="30"/>
      <c r="F28" s="31"/>
      <c r="G28" s="36"/>
      <c r="H28" s="36"/>
      <c r="I28" s="31"/>
      <c r="J28" s="31"/>
      <c r="K28" s="37"/>
      <c r="L28" s="38">
        <f t="shared" si="9"/>
        <v>0</v>
      </c>
      <c r="M28" s="39"/>
      <c r="N28" s="31"/>
      <c r="O28" s="31"/>
      <c r="P28" s="31"/>
      <c r="Q28" s="31"/>
      <c r="R28" s="31"/>
      <c r="S28" s="36"/>
      <c r="T28" s="38">
        <f t="shared" si="10"/>
        <v>0</v>
      </c>
      <c r="U28" s="55">
        <v>56</v>
      </c>
      <c r="V28" s="36"/>
      <c r="W28" s="45">
        <f t="shared" si="11"/>
        <v>39.199999999999996</v>
      </c>
      <c r="X28" s="37"/>
      <c r="Y28" s="24"/>
      <c r="Z28" s="24"/>
      <c r="AA28" s="45">
        <f t="shared" si="12"/>
        <v>0</v>
      </c>
      <c r="AB28" s="26"/>
      <c r="AC28" s="26">
        <v>26</v>
      </c>
      <c r="AD28" s="36"/>
      <c r="AE28" s="38">
        <f t="shared" si="13"/>
        <v>9.1</v>
      </c>
      <c r="AF28" s="37"/>
      <c r="AG28" s="31"/>
      <c r="AH28" s="36"/>
      <c r="AI28" s="38">
        <f t="shared" si="14"/>
        <v>0</v>
      </c>
      <c r="AJ28" s="30"/>
      <c r="AK28" s="37"/>
      <c r="AL28" s="36"/>
      <c r="AM28" s="38">
        <f t="shared" si="15"/>
        <v>0</v>
      </c>
      <c r="AN28" s="30"/>
      <c r="AO28" s="31"/>
      <c r="AP28" s="36"/>
      <c r="AQ28" s="46">
        <f t="shared" si="16"/>
        <v>0</v>
      </c>
      <c r="AR28" s="30"/>
      <c r="AS28" s="31"/>
      <c r="AT28" s="36"/>
      <c r="AU28" s="46">
        <f t="shared" si="17"/>
        <v>0</v>
      </c>
      <c r="AV28" s="37"/>
      <c r="AW28" s="46"/>
      <c r="AX28" s="30"/>
      <c r="AY28" s="31"/>
      <c r="AZ28" s="31"/>
    </row>
    <row r="29" spans="1:52" ht="14.4" thickBot="1" x14ac:dyDescent="0.3">
      <c r="A29" s="66">
        <v>214371908</v>
      </c>
      <c r="B29" s="24" t="s">
        <v>125</v>
      </c>
      <c r="C29" s="7" t="s">
        <v>123</v>
      </c>
      <c r="D29" s="30"/>
      <c r="E29" s="30"/>
      <c r="F29" s="31"/>
      <c r="G29" s="36"/>
      <c r="H29" s="36"/>
      <c r="I29" s="31"/>
      <c r="J29" s="31"/>
      <c r="K29" s="37"/>
      <c r="L29" s="38">
        <f t="shared" si="9"/>
        <v>0</v>
      </c>
      <c r="M29" s="39">
        <v>79</v>
      </c>
      <c r="N29" s="31"/>
      <c r="O29" s="31"/>
      <c r="P29" s="31"/>
      <c r="Q29" s="31"/>
      <c r="R29" s="31"/>
      <c r="S29" s="36"/>
      <c r="T29" s="38">
        <f t="shared" si="10"/>
        <v>19.75</v>
      </c>
      <c r="U29" s="55">
        <v>61</v>
      </c>
      <c r="V29" s="36">
        <v>71</v>
      </c>
      <c r="W29" s="45">
        <f t="shared" si="11"/>
        <v>64</v>
      </c>
      <c r="X29" s="37"/>
      <c r="Y29" s="43">
        <v>85</v>
      </c>
      <c r="Z29" s="52">
        <v>100</v>
      </c>
      <c r="AA29" s="45">
        <f t="shared" si="12"/>
        <v>59.75</v>
      </c>
      <c r="AB29" s="26"/>
      <c r="AC29" s="26">
        <v>66</v>
      </c>
      <c r="AD29" s="36"/>
      <c r="AE29" s="38">
        <f t="shared" si="13"/>
        <v>23.099999999999998</v>
      </c>
      <c r="AF29" s="37"/>
      <c r="AG29" s="31"/>
      <c r="AH29" s="36"/>
      <c r="AI29" s="38">
        <f t="shared" si="14"/>
        <v>0</v>
      </c>
      <c r="AJ29" s="30"/>
      <c r="AK29" s="37"/>
      <c r="AL29" s="36"/>
      <c r="AM29" s="38">
        <f t="shared" si="15"/>
        <v>0</v>
      </c>
      <c r="AN29" s="30"/>
      <c r="AO29" s="31"/>
      <c r="AP29" s="36"/>
      <c r="AQ29" s="46">
        <f t="shared" si="16"/>
        <v>0</v>
      </c>
      <c r="AR29" s="30"/>
      <c r="AS29" s="31"/>
      <c r="AT29" s="36"/>
      <c r="AU29" s="46">
        <f t="shared" si="17"/>
        <v>0</v>
      </c>
      <c r="AV29" s="37"/>
      <c r="AW29" s="46"/>
      <c r="AX29" s="30"/>
      <c r="AY29" s="31"/>
      <c r="AZ29" s="31"/>
    </row>
    <row r="30" spans="1:52" ht="14.4" thickBot="1" x14ac:dyDescent="0.3">
      <c r="A30" s="66">
        <v>221235120</v>
      </c>
      <c r="B30" s="25" t="s">
        <v>127</v>
      </c>
      <c r="C30" s="7" t="s">
        <v>123</v>
      </c>
      <c r="D30" s="30"/>
      <c r="E30" s="30"/>
      <c r="F30" s="31"/>
      <c r="G30" s="36"/>
      <c r="H30" s="36"/>
      <c r="I30" s="31"/>
      <c r="J30" s="31"/>
      <c r="K30" s="37"/>
      <c r="L30" s="38">
        <f t="shared" si="9"/>
        <v>0</v>
      </c>
      <c r="M30" s="39">
        <v>79</v>
      </c>
      <c r="N30" s="31"/>
      <c r="O30" s="31"/>
      <c r="P30" s="31"/>
      <c r="Q30" s="31"/>
      <c r="R30" s="31"/>
      <c r="S30" s="36"/>
      <c r="T30" s="38">
        <f t="shared" si="10"/>
        <v>19.75</v>
      </c>
      <c r="U30" s="56">
        <v>0</v>
      </c>
      <c r="V30" s="36"/>
      <c r="W30" s="45">
        <f t="shared" si="11"/>
        <v>0</v>
      </c>
      <c r="X30" s="37"/>
      <c r="Y30" s="53">
        <v>65</v>
      </c>
      <c r="Z30" s="50">
        <v>100</v>
      </c>
      <c r="AA30" s="45">
        <f t="shared" si="12"/>
        <v>52.75</v>
      </c>
      <c r="AB30" s="26"/>
      <c r="AC30" s="26">
        <v>23</v>
      </c>
      <c r="AD30" s="36"/>
      <c r="AE30" s="38">
        <f t="shared" si="13"/>
        <v>8.0499999999999989</v>
      </c>
      <c r="AF30" s="37"/>
      <c r="AG30" s="31"/>
      <c r="AH30" s="36"/>
      <c r="AI30" s="38">
        <f t="shared" si="14"/>
        <v>0</v>
      </c>
      <c r="AJ30" s="30"/>
      <c r="AK30" s="37"/>
      <c r="AL30" s="36"/>
      <c r="AM30" s="38">
        <f t="shared" si="15"/>
        <v>0</v>
      </c>
      <c r="AN30" s="30"/>
      <c r="AO30" s="31"/>
      <c r="AP30" s="36"/>
      <c r="AQ30" s="46">
        <f t="shared" si="16"/>
        <v>0</v>
      </c>
      <c r="AR30" s="30"/>
      <c r="AS30" s="31"/>
      <c r="AT30" s="36"/>
      <c r="AU30" s="46">
        <f t="shared" si="17"/>
        <v>0</v>
      </c>
      <c r="AV30" s="37"/>
      <c r="AW30" s="46"/>
      <c r="AX30" s="30"/>
      <c r="AY30" s="31"/>
      <c r="AZ30" s="31"/>
    </row>
    <row r="31" spans="1:52" ht="14.4" thickBot="1" x14ac:dyDescent="0.3">
      <c r="A31" s="66">
        <v>213271794</v>
      </c>
      <c r="B31" s="25" t="s">
        <v>129</v>
      </c>
      <c r="C31" s="7" t="s">
        <v>123</v>
      </c>
      <c r="D31" s="30"/>
      <c r="E31" s="30"/>
      <c r="F31" s="31"/>
      <c r="G31" s="36"/>
      <c r="H31" s="36"/>
      <c r="I31" s="31"/>
      <c r="J31" s="31"/>
      <c r="K31" s="37"/>
      <c r="L31" s="38">
        <f t="shared" si="9"/>
        <v>0</v>
      </c>
      <c r="M31" s="39">
        <v>100</v>
      </c>
      <c r="N31" s="31"/>
      <c r="O31" s="31"/>
      <c r="P31" s="31"/>
      <c r="Q31" s="31"/>
      <c r="R31" s="31"/>
      <c r="S31" s="36"/>
      <c r="T31" s="38">
        <f t="shared" si="10"/>
        <v>25</v>
      </c>
      <c r="U31" s="55">
        <v>55</v>
      </c>
      <c r="V31" s="36">
        <v>68</v>
      </c>
      <c r="W31" s="45">
        <f t="shared" si="11"/>
        <v>58.9</v>
      </c>
      <c r="X31" s="37"/>
      <c r="Y31" s="43">
        <v>85</v>
      </c>
      <c r="Z31" s="52">
        <v>100</v>
      </c>
      <c r="AA31" s="45">
        <f t="shared" si="12"/>
        <v>59.75</v>
      </c>
      <c r="AB31" s="26"/>
      <c r="AC31" s="26">
        <v>73</v>
      </c>
      <c r="AD31" s="36"/>
      <c r="AE31" s="38">
        <f t="shared" si="13"/>
        <v>25.549999999999997</v>
      </c>
      <c r="AF31" s="37"/>
      <c r="AG31" s="31"/>
      <c r="AH31" s="36"/>
      <c r="AI31" s="38">
        <f t="shared" si="14"/>
        <v>0</v>
      </c>
      <c r="AJ31" s="30"/>
      <c r="AK31" s="37"/>
      <c r="AL31" s="36"/>
      <c r="AM31" s="38">
        <f t="shared" si="15"/>
        <v>0</v>
      </c>
      <c r="AN31" s="30"/>
      <c r="AO31" s="31"/>
      <c r="AP31" s="36"/>
      <c r="AQ31" s="46">
        <f t="shared" si="16"/>
        <v>0</v>
      </c>
      <c r="AR31" s="30"/>
      <c r="AS31" s="31"/>
      <c r="AT31" s="36"/>
      <c r="AU31" s="46">
        <f t="shared" si="17"/>
        <v>0</v>
      </c>
      <c r="AV31" s="37"/>
      <c r="AW31" s="46"/>
      <c r="AX31" s="30"/>
      <c r="AY31" s="31"/>
      <c r="AZ31" s="31"/>
    </row>
    <row r="32" spans="1:52" ht="14.4" thickBot="1" x14ac:dyDescent="0.3">
      <c r="A32" s="66">
        <v>213280803</v>
      </c>
      <c r="B32" s="25" t="s">
        <v>131</v>
      </c>
      <c r="C32" s="7" t="s">
        <v>123</v>
      </c>
      <c r="D32" s="30"/>
      <c r="E32" s="30"/>
      <c r="F32" s="31"/>
      <c r="G32" s="36"/>
      <c r="H32" s="36"/>
      <c r="I32" s="31"/>
      <c r="J32" s="31"/>
      <c r="K32" s="37"/>
      <c r="L32" s="38">
        <f t="shared" si="9"/>
        <v>0</v>
      </c>
      <c r="M32" s="39"/>
      <c r="N32" s="31"/>
      <c r="O32" s="31"/>
      <c r="P32" s="31"/>
      <c r="Q32" s="31"/>
      <c r="R32" s="31"/>
      <c r="S32" s="36"/>
      <c r="T32" s="38">
        <f t="shared" si="10"/>
        <v>0</v>
      </c>
      <c r="U32" s="55">
        <v>81</v>
      </c>
      <c r="V32" s="40">
        <v>93</v>
      </c>
      <c r="W32" s="45">
        <f t="shared" si="11"/>
        <v>84.6</v>
      </c>
      <c r="X32" s="42"/>
      <c r="Y32" s="52">
        <v>100</v>
      </c>
      <c r="Z32" s="52">
        <v>100</v>
      </c>
      <c r="AA32" s="45">
        <f t="shared" si="12"/>
        <v>65</v>
      </c>
      <c r="AB32" s="26"/>
      <c r="AC32" s="26">
        <v>82</v>
      </c>
      <c r="AD32" s="36"/>
      <c r="AE32" s="38">
        <f t="shared" si="13"/>
        <v>28.7</v>
      </c>
      <c r="AF32" s="37"/>
      <c r="AG32" s="31"/>
      <c r="AH32" s="36"/>
      <c r="AI32" s="38">
        <f t="shared" si="14"/>
        <v>0</v>
      </c>
      <c r="AJ32" s="30"/>
      <c r="AK32" s="37"/>
      <c r="AL32" s="36"/>
      <c r="AM32" s="38">
        <f t="shared" si="15"/>
        <v>0</v>
      </c>
      <c r="AN32" s="30"/>
      <c r="AO32" s="31"/>
      <c r="AP32" s="36"/>
      <c r="AQ32" s="46">
        <f t="shared" si="16"/>
        <v>0</v>
      </c>
      <c r="AR32" s="30"/>
      <c r="AS32" s="31"/>
      <c r="AT32" s="36"/>
      <c r="AU32" s="46">
        <f t="shared" si="17"/>
        <v>0</v>
      </c>
      <c r="AV32" s="37"/>
      <c r="AW32" s="46"/>
      <c r="AX32" s="30"/>
      <c r="AY32" s="31"/>
      <c r="AZ32" s="31"/>
    </row>
    <row r="33" spans="1:52" ht="14.4" thickBot="1" x14ac:dyDescent="0.3">
      <c r="A33" s="66">
        <v>214264632</v>
      </c>
      <c r="B33" s="25" t="s">
        <v>133</v>
      </c>
      <c r="C33" s="7" t="s">
        <v>123</v>
      </c>
      <c r="D33" s="30"/>
      <c r="E33" s="30"/>
      <c r="F33" s="31"/>
      <c r="G33" s="36"/>
      <c r="H33" s="36"/>
      <c r="I33" s="31"/>
      <c r="J33" s="31"/>
      <c r="K33" s="37"/>
      <c r="L33" s="38">
        <f t="shared" si="9"/>
        <v>0</v>
      </c>
      <c r="M33" s="39"/>
      <c r="N33" s="31"/>
      <c r="O33" s="31"/>
      <c r="P33" s="31"/>
      <c r="Q33" s="31"/>
      <c r="R33" s="31"/>
      <c r="S33" s="36"/>
      <c r="T33" s="38">
        <f t="shared" si="10"/>
        <v>0</v>
      </c>
      <c r="U33" s="55">
        <v>73</v>
      </c>
      <c r="V33" s="36">
        <v>89</v>
      </c>
      <c r="W33" s="45">
        <f t="shared" si="11"/>
        <v>77.8</v>
      </c>
      <c r="X33" s="37"/>
      <c r="Y33" s="50">
        <v>90</v>
      </c>
      <c r="Z33" s="52">
        <v>100</v>
      </c>
      <c r="AA33" s="45">
        <f t="shared" si="12"/>
        <v>61.5</v>
      </c>
      <c r="AB33" s="26"/>
      <c r="AC33" s="26">
        <v>57</v>
      </c>
      <c r="AD33" s="36"/>
      <c r="AE33" s="38">
        <f t="shared" si="13"/>
        <v>19.95</v>
      </c>
      <c r="AF33" s="37"/>
      <c r="AG33" s="31"/>
      <c r="AH33" s="36"/>
      <c r="AI33" s="38">
        <f t="shared" si="14"/>
        <v>0</v>
      </c>
      <c r="AJ33" s="30"/>
      <c r="AK33" s="37"/>
      <c r="AL33" s="36"/>
      <c r="AM33" s="38">
        <f t="shared" si="15"/>
        <v>0</v>
      </c>
      <c r="AN33" s="30"/>
      <c r="AO33" s="31"/>
      <c r="AP33" s="36"/>
      <c r="AQ33" s="46">
        <f t="shared" si="16"/>
        <v>0</v>
      </c>
      <c r="AR33" s="30"/>
      <c r="AS33" s="31"/>
      <c r="AT33" s="36"/>
      <c r="AU33" s="46">
        <f t="shared" si="17"/>
        <v>0</v>
      </c>
      <c r="AV33" s="37"/>
      <c r="AW33" s="46"/>
      <c r="AX33" s="30"/>
      <c r="AY33" s="31"/>
      <c r="AZ33" s="31"/>
    </row>
    <row r="34" spans="1:52" ht="14.4" thickBot="1" x14ac:dyDescent="0.3">
      <c r="A34" s="66">
        <v>213273139</v>
      </c>
      <c r="B34" s="25" t="s">
        <v>135</v>
      </c>
      <c r="C34" s="7" t="s">
        <v>123</v>
      </c>
      <c r="D34" s="30"/>
      <c r="E34" s="30"/>
      <c r="F34" s="31"/>
      <c r="G34" s="36"/>
      <c r="H34" s="36"/>
      <c r="I34" s="31"/>
      <c r="J34" s="31"/>
      <c r="K34" s="37"/>
      <c r="L34" s="38">
        <f t="shared" si="9"/>
        <v>0</v>
      </c>
      <c r="M34" s="39"/>
      <c r="N34" s="31"/>
      <c r="O34" s="31"/>
      <c r="P34" s="31"/>
      <c r="Q34" s="31"/>
      <c r="R34" s="31"/>
      <c r="S34" s="36"/>
      <c r="T34" s="38">
        <f t="shared" si="10"/>
        <v>0</v>
      </c>
      <c r="U34" s="55">
        <v>64</v>
      </c>
      <c r="V34" s="36">
        <v>83</v>
      </c>
      <c r="W34" s="45">
        <f t="shared" si="11"/>
        <v>69.699999999999989</v>
      </c>
      <c r="X34" s="37"/>
      <c r="Y34" s="48">
        <v>95</v>
      </c>
      <c r="Z34" s="52">
        <v>100</v>
      </c>
      <c r="AA34" s="45">
        <f t="shared" si="12"/>
        <v>63.25</v>
      </c>
      <c r="AB34" s="26"/>
      <c r="AC34" s="26">
        <v>67</v>
      </c>
      <c r="AD34" s="36"/>
      <c r="AE34" s="38">
        <f t="shared" si="13"/>
        <v>23.45</v>
      </c>
      <c r="AF34" s="37"/>
      <c r="AG34" s="31"/>
      <c r="AH34" s="36"/>
      <c r="AI34" s="38">
        <f t="shared" si="14"/>
        <v>0</v>
      </c>
      <c r="AJ34" s="30"/>
      <c r="AK34" s="37"/>
      <c r="AL34" s="36"/>
      <c r="AM34" s="38">
        <f t="shared" si="15"/>
        <v>0</v>
      </c>
      <c r="AN34" s="30"/>
      <c r="AO34" s="31"/>
      <c r="AP34" s="36"/>
      <c r="AQ34" s="46">
        <f t="shared" si="16"/>
        <v>0</v>
      </c>
      <c r="AR34" s="30"/>
      <c r="AS34" s="31"/>
      <c r="AT34" s="36"/>
      <c r="AU34" s="46">
        <f t="shared" si="17"/>
        <v>0</v>
      </c>
      <c r="AV34" s="37"/>
      <c r="AW34" s="46"/>
      <c r="AX34" s="30"/>
      <c r="AY34" s="31"/>
      <c r="AZ34" s="31"/>
    </row>
    <row r="35" spans="1:52" ht="14.4" thickBot="1" x14ac:dyDescent="0.3">
      <c r="A35" s="66">
        <v>213180698</v>
      </c>
      <c r="B35" s="25" t="s">
        <v>137</v>
      </c>
      <c r="C35" s="7" t="s">
        <v>123</v>
      </c>
      <c r="D35" s="30"/>
      <c r="E35" s="30"/>
      <c r="F35" s="31"/>
      <c r="G35" s="36"/>
      <c r="H35" s="36"/>
      <c r="I35" s="31"/>
      <c r="J35" s="31"/>
      <c r="K35" s="37"/>
      <c r="L35" s="38">
        <f t="shared" si="9"/>
        <v>0</v>
      </c>
      <c r="M35" s="39"/>
      <c r="N35" s="31"/>
      <c r="O35" s="31"/>
      <c r="P35" s="31"/>
      <c r="Q35" s="31"/>
      <c r="R35" s="31"/>
      <c r="S35" s="36"/>
      <c r="T35" s="38">
        <f t="shared" si="10"/>
        <v>0</v>
      </c>
      <c r="U35" s="56">
        <v>0</v>
      </c>
      <c r="V35" s="36">
        <v>95</v>
      </c>
      <c r="W35" s="45">
        <f t="shared" si="11"/>
        <v>28.5</v>
      </c>
      <c r="X35" s="37"/>
      <c r="Y35" s="50">
        <v>90</v>
      </c>
      <c r="Z35" s="48">
        <v>95</v>
      </c>
      <c r="AA35" s="45">
        <f t="shared" si="12"/>
        <v>60</v>
      </c>
      <c r="AB35" s="26"/>
      <c r="AC35" s="26">
        <v>37</v>
      </c>
      <c r="AD35" s="36"/>
      <c r="AE35" s="38">
        <f t="shared" si="13"/>
        <v>12.95</v>
      </c>
      <c r="AF35" s="37"/>
      <c r="AG35" s="31"/>
      <c r="AH35" s="36"/>
      <c r="AI35" s="38">
        <f t="shared" si="14"/>
        <v>0</v>
      </c>
      <c r="AJ35" s="30"/>
      <c r="AK35" s="37"/>
      <c r="AL35" s="36"/>
      <c r="AM35" s="38">
        <f t="shared" si="15"/>
        <v>0</v>
      </c>
      <c r="AN35" s="30"/>
      <c r="AO35" s="31"/>
      <c r="AP35" s="36"/>
      <c r="AQ35" s="46">
        <f t="shared" si="16"/>
        <v>0</v>
      </c>
      <c r="AR35" s="30"/>
      <c r="AS35" s="31"/>
      <c r="AT35" s="36"/>
      <c r="AU35" s="46">
        <f t="shared" si="17"/>
        <v>0</v>
      </c>
      <c r="AV35" s="37"/>
      <c r="AW35" s="46"/>
      <c r="AX35" s="30"/>
      <c r="AY35" s="31"/>
      <c r="AZ35" s="31"/>
    </row>
    <row r="36" spans="1:52" ht="14.4" thickBot="1" x14ac:dyDescent="0.3">
      <c r="A36" s="66">
        <v>342686888</v>
      </c>
      <c r="B36" s="25" t="s">
        <v>139</v>
      </c>
      <c r="C36" s="7" t="s">
        <v>123</v>
      </c>
      <c r="D36" s="30"/>
      <c r="E36" s="30"/>
      <c r="F36" s="31"/>
      <c r="G36" s="36"/>
      <c r="H36" s="36"/>
      <c r="I36" s="31"/>
      <c r="J36" s="31"/>
      <c r="K36" s="37"/>
      <c r="L36" s="38">
        <f t="shared" si="9"/>
        <v>0</v>
      </c>
      <c r="M36" s="39"/>
      <c r="N36" s="31"/>
      <c r="O36" s="31"/>
      <c r="P36" s="31"/>
      <c r="Q36" s="31"/>
      <c r="R36" s="31"/>
      <c r="S36" s="36"/>
      <c r="T36" s="38">
        <f t="shared" si="10"/>
        <v>0</v>
      </c>
      <c r="U36" s="55">
        <v>52</v>
      </c>
      <c r="V36" s="40">
        <v>84</v>
      </c>
      <c r="W36" s="45">
        <f t="shared" si="11"/>
        <v>61.599999999999994</v>
      </c>
      <c r="X36" s="42"/>
      <c r="Y36" s="57">
        <v>93</v>
      </c>
      <c r="Z36" s="52">
        <v>100</v>
      </c>
      <c r="AA36" s="45">
        <f t="shared" si="12"/>
        <v>62.55</v>
      </c>
      <c r="AB36" s="26"/>
      <c r="AC36" s="26">
        <v>41</v>
      </c>
      <c r="AD36" s="36"/>
      <c r="AE36" s="38">
        <f t="shared" si="13"/>
        <v>14.35</v>
      </c>
      <c r="AF36" s="37"/>
      <c r="AG36" s="31"/>
      <c r="AH36" s="36"/>
      <c r="AI36" s="38">
        <f t="shared" si="14"/>
        <v>0</v>
      </c>
      <c r="AJ36" s="30"/>
      <c r="AK36" s="37"/>
      <c r="AL36" s="36"/>
      <c r="AM36" s="38">
        <f t="shared" si="15"/>
        <v>0</v>
      </c>
      <c r="AN36" s="30"/>
      <c r="AO36" s="31"/>
      <c r="AP36" s="36"/>
      <c r="AQ36" s="46">
        <f t="shared" si="16"/>
        <v>0</v>
      </c>
      <c r="AR36" s="30"/>
      <c r="AS36" s="31"/>
      <c r="AT36" s="36"/>
      <c r="AU36" s="46">
        <f t="shared" si="17"/>
        <v>0</v>
      </c>
      <c r="AV36" s="37"/>
      <c r="AW36" s="46"/>
      <c r="AX36" s="30"/>
      <c r="AY36" s="31"/>
      <c r="AZ36" s="31"/>
    </row>
    <row r="37" spans="1:52" ht="14.4" thickBot="1" x14ac:dyDescent="0.3">
      <c r="A37" s="66">
        <v>213201403</v>
      </c>
      <c r="B37" s="25" t="s">
        <v>141</v>
      </c>
      <c r="C37" s="7" t="s">
        <v>123</v>
      </c>
      <c r="D37" s="30"/>
      <c r="E37" s="30"/>
      <c r="F37" s="31"/>
      <c r="G37" s="36"/>
      <c r="H37" s="36"/>
      <c r="I37" s="31"/>
      <c r="J37" s="31"/>
      <c r="K37" s="37"/>
      <c r="L37" s="38">
        <f t="shared" si="9"/>
        <v>0</v>
      </c>
      <c r="M37" s="39"/>
      <c r="N37" s="31"/>
      <c r="O37" s="31"/>
      <c r="P37" s="31"/>
      <c r="Q37" s="31"/>
      <c r="R37" s="31"/>
      <c r="S37" s="36"/>
      <c r="T37" s="38">
        <f t="shared" si="10"/>
        <v>0</v>
      </c>
      <c r="U37" s="55">
        <v>66</v>
      </c>
      <c r="V37" s="36"/>
      <c r="W37" s="45">
        <f t="shared" si="11"/>
        <v>46.199999999999996</v>
      </c>
      <c r="X37" s="37"/>
      <c r="Y37" s="31"/>
      <c r="Z37" s="31"/>
      <c r="AA37" s="45">
        <f t="shared" si="12"/>
        <v>0</v>
      </c>
      <c r="AB37" s="26"/>
      <c r="AC37" s="26">
        <v>61</v>
      </c>
      <c r="AD37" s="36"/>
      <c r="AE37" s="38">
        <f t="shared" si="13"/>
        <v>21.349999999999998</v>
      </c>
      <c r="AF37" s="37"/>
      <c r="AG37" s="31"/>
      <c r="AH37" s="36"/>
      <c r="AI37" s="38">
        <f t="shared" si="14"/>
        <v>0</v>
      </c>
      <c r="AJ37" s="30"/>
      <c r="AK37" s="37"/>
      <c r="AL37" s="36"/>
      <c r="AM37" s="38">
        <f t="shared" si="15"/>
        <v>0</v>
      </c>
      <c r="AN37" s="30"/>
      <c r="AO37" s="31"/>
      <c r="AP37" s="36"/>
      <c r="AQ37" s="46">
        <f t="shared" si="16"/>
        <v>0</v>
      </c>
      <c r="AR37" s="30"/>
      <c r="AS37" s="31"/>
      <c r="AT37" s="36"/>
      <c r="AU37" s="46">
        <f t="shared" si="17"/>
        <v>0</v>
      </c>
      <c r="AV37" s="37"/>
      <c r="AW37" s="46"/>
      <c r="AX37" s="30"/>
      <c r="AY37" s="31"/>
      <c r="AZ37" s="31"/>
    </row>
    <row r="38" spans="1:52" ht="14.4" thickBot="1" x14ac:dyDescent="0.3">
      <c r="A38" s="66">
        <v>214589319</v>
      </c>
      <c r="B38" s="25" t="s">
        <v>143</v>
      </c>
      <c r="C38" s="7" t="s">
        <v>123</v>
      </c>
      <c r="D38" s="30"/>
      <c r="E38" s="30"/>
      <c r="F38" s="31"/>
      <c r="G38" s="36"/>
      <c r="H38" s="36"/>
      <c r="I38" s="31"/>
      <c r="J38" s="31"/>
      <c r="K38" s="37"/>
      <c r="L38" s="38">
        <f t="shared" si="9"/>
        <v>0</v>
      </c>
      <c r="M38" s="39"/>
      <c r="N38" s="31"/>
      <c r="O38" s="31"/>
      <c r="P38" s="31"/>
      <c r="Q38" s="31"/>
      <c r="R38" s="31"/>
      <c r="S38" s="36"/>
      <c r="T38" s="38">
        <f t="shared" si="10"/>
        <v>0</v>
      </c>
      <c r="U38" s="55">
        <v>89</v>
      </c>
      <c r="V38" s="36">
        <v>94</v>
      </c>
      <c r="W38" s="45">
        <f t="shared" si="11"/>
        <v>90.5</v>
      </c>
      <c r="X38" s="37"/>
      <c r="Y38" s="48">
        <v>95</v>
      </c>
      <c r="Z38" s="52">
        <v>100</v>
      </c>
      <c r="AA38" s="45">
        <f t="shared" si="12"/>
        <v>63.25</v>
      </c>
      <c r="AB38" s="26"/>
      <c r="AC38" s="26">
        <v>74</v>
      </c>
      <c r="AD38" s="36"/>
      <c r="AE38" s="38">
        <f t="shared" si="13"/>
        <v>25.9</v>
      </c>
      <c r="AF38" s="37"/>
      <c r="AG38" s="31"/>
      <c r="AH38" s="36"/>
      <c r="AI38" s="38">
        <f t="shared" si="14"/>
        <v>0</v>
      </c>
      <c r="AJ38" s="30"/>
      <c r="AK38" s="37"/>
      <c r="AL38" s="36"/>
      <c r="AM38" s="38">
        <f t="shared" si="15"/>
        <v>0</v>
      </c>
      <c r="AN38" s="30"/>
      <c r="AO38" s="31"/>
      <c r="AP38" s="36"/>
      <c r="AQ38" s="46">
        <f t="shared" si="16"/>
        <v>0</v>
      </c>
      <c r="AR38" s="30"/>
      <c r="AS38" s="31"/>
      <c r="AT38" s="36"/>
      <c r="AU38" s="46">
        <f t="shared" si="17"/>
        <v>0</v>
      </c>
      <c r="AV38" s="37"/>
      <c r="AW38" s="46"/>
      <c r="AX38" s="30"/>
      <c r="AY38" s="31"/>
      <c r="AZ38" s="31"/>
    </row>
    <row r="39" spans="1:52" ht="14.4" thickBot="1" x14ac:dyDescent="0.3">
      <c r="A39" s="66">
        <v>213274293</v>
      </c>
      <c r="B39" s="25" t="s">
        <v>145</v>
      </c>
      <c r="C39" s="7" t="s">
        <v>123</v>
      </c>
      <c r="D39" s="30"/>
      <c r="E39" s="30"/>
      <c r="F39" s="31"/>
      <c r="G39" s="36"/>
      <c r="H39" s="36"/>
      <c r="I39" s="31"/>
      <c r="J39" s="31"/>
      <c r="K39" s="37"/>
      <c r="L39" s="38">
        <f t="shared" si="9"/>
        <v>0</v>
      </c>
      <c r="M39" s="39"/>
      <c r="N39" s="31"/>
      <c r="O39" s="31"/>
      <c r="P39" s="31"/>
      <c r="Q39" s="31"/>
      <c r="R39" s="31"/>
      <c r="S39" s="36"/>
      <c r="T39" s="38">
        <f t="shared" si="10"/>
        <v>0</v>
      </c>
      <c r="U39" s="55">
        <v>86</v>
      </c>
      <c r="V39" s="36">
        <v>94</v>
      </c>
      <c r="W39" s="45">
        <f t="shared" si="11"/>
        <v>88.399999999999991</v>
      </c>
      <c r="X39" s="37"/>
      <c r="Y39" s="48">
        <v>95</v>
      </c>
      <c r="Z39" s="52">
        <v>100</v>
      </c>
      <c r="AA39" s="45">
        <f t="shared" si="12"/>
        <v>63.25</v>
      </c>
      <c r="AB39" s="26"/>
      <c r="AC39" s="26">
        <v>78</v>
      </c>
      <c r="AD39" s="36"/>
      <c r="AE39" s="38">
        <f t="shared" si="13"/>
        <v>27.299999999999997</v>
      </c>
      <c r="AF39" s="37"/>
      <c r="AG39" s="31"/>
      <c r="AH39" s="36"/>
      <c r="AI39" s="38">
        <f t="shared" si="14"/>
        <v>0</v>
      </c>
      <c r="AJ39" s="30"/>
      <c r="AK39" s="37"/>
      <c r="AL39" s="36"/>
      <c r="AM39" s="38">
        <f t="shared" si="15"/>
        <v>0</v>
      </c>
      <c r="AN39" s="30"/>
      <c r="AO39" s="31"/>
      <c r="AP39" s="36"/>
      <c r="AQ39" s="46">
        <f t="shared" si="16"/>
        <v>0</v>
      </c>
      <c r="AR39" s="30"/>
      <c r="AS39" s="31"/>
      <c r="AT39" s="36"/>
      <c r="AU39" s="46">
        <f t="shared" si="17"/>
        <v>0</v>
      </c>
      <c r="AV39" s="37"/>
      <c r="AW39" s="46"/>
      <c r="AX39" s="30"/>
      <c r="AY39" s="31"/>
      <c r="AZ39" s="31"/>
    </row>
    <row r="40" spans="1:52" ht="14.4" thickBot="1" x14ac:dyDescent="0.3">
      <c r="A40" s="66">
        <v>214263626</v>
      </c>
      <c r="B40" s="25" t="s">
        <v>147</v>
      </c>
      <c r="C40" s="7" t="s">
        <v>123</v>
      </c>
      <c r="D40" s="30"/>
      <c r="E40" s="30"/>
      <c r="F40" s="31"/>
      <c r="G40" s="36"/>
      <c r="H40" s="36"/>
      <c r="I40" s="31"/>
      <c r="J40" s="31"/>
      <c r="K40" s="37"/>
      <c r="L40" s="38">
        <f t="shared" si="9"/>
        <v>0</v>
      </c>
      <c r="M40" s="39"/>
      <c r="N40" s="31"/>
      <c r="O40" s="31"/>
      <c r="P40" s="31"/>
      <c r="Q40" s="31"/>
      <c r="R40" s="31"/>
      <c r="S40" s="36"/>
      <c r="T40" s="38">
        <f t="shared" si="10"/>
        <v>0</v>
      </c>
      <c r="U40" s="56">
        <v>0</v>
      </c>
      <c r="V40" s="36">
        <v>56</v>
      </c>
      <c r="W40" s="45">
        <f t="shared" si="11"/>
        <v>16.8</v>
      </c>
      <c r="X40" s="37"/>
      <c r="Y40" s="52">
        <v>100</v>
      </c>
      <c r="Z40" s="52">
        <v>100</v>
      </c>
      <c r="AA40" s="45">
        <f t="shared" si="12"/>
        <v>65</v>
      </c>
      <c r="AB40" s="26"/>
      <c r="AC40" s="26">
        <v>65</v>
      </c>
      <c r="AD40" s="36"/>
      <c r="AE40" s="38">
        <f t="shared" si="13"/>
        <v>22.75</v>
      </c>
      <c r="AF40" s="37"/>
      <c r="AG40" s="31"/>
      <c r="AH40" s="36"/>
      <c r="AI40" s="38">
        <f t="shared" si="14"/>
        <v>0</v>
      </c>
      <c r="AJ40" s="30"/>
      <c r="AK40" s="37"/>
      <c r="AL40" s="36"/>
      <c r="AM40" s="38">
        <f t="shared" si="15"/>
        <v>0</v>
      </c>
      <c r="AN40" s="30"/>
      <c r="AO40" s="31"/>
      <c r="AP40" s="36"/>
      <c r="AQ40" s="46">
        <f t="shared" si="16"/>
        <v>0</v>
      </c>
      <c r="AR40" s="30"/>
      <c r="AS40" s="31"/>
      <c r="AT40" s="36"/>
      <c r="AU40" s="46">
        <f t="shared" si="17"/>
        <v>0</v>
      </c>
      <c r="AV40" s="37"/>
      <c r="AW40" s="46"/>
      <c r="AX40" s="30"/>
      <c r="AY40" s="31"/>
      <c r="AZ40" s="31"/>
    </row>
    <row r="41" spans="1:52" ht="14.4" thickBot="1" x14ac:dyDescent="0.3">
      <c r="A41" s="66">
        <v>214263436</v>
      </c>
      <c r="B41" s="25" t="s">
        <v>149</v>
      </c>
      <c r="C41" s="7" t="s">
        <v>123</v>
      </c>
      <c r="D41" s="30"/>
      <c r="E41" s="30"/>
      <c r="F41" s="31"/>
      <c r="G41" s="36"/>
      <c r="H41" s="36"/>
      <c r="I41" s="31"/>
      <c r="J41" s="31"/>
      <c r="K41" s="37"/>
      <c r="L41" s="38">
        <f t="shared" si="9"/>
        <v>0</v>
      </c>
      <c r="M41" s="39">
        <v>89</v>
      </c>
      <c r="N41" s="31"/>
      <c r="O41" s="31"/>
      <c r="P41" s="31"/>
      <c r="Q41" s="31"/>
      <c r="R41" s="31"/>
      <c r="S41" s="36"/>
      <c r="T41" s="38">
        <f t="shared" si="10"/>
        <v>22.25</v>
      </c>
      <c r="U41" s="55">
        <v>35</v>
      </c>
      <c r="V41" s="36">
        <v>65</v>
      </c>
      <c r="W41" s="45">
        <f t="shared" si="11"/>
        <v>44</v>
      </c>
      <c r="X41" s="37"/>
      <c r="Y41" s="58">
        <v>75</v>
      </c>
      <c r="Z41" s="52">
        <v>100</v>
      </c>
      <c r="AA41" s="45">
        <f t="shared" si="12"/>
        <v>56.25</v>
      </c>
      <c r="AB41" s="26"/>
      <c r="AC41" s="26">
        <v>31</v>
      </c>
      <c r="AD41" s="36"/>
      <c r="AE41" s="38">
        <f t="shared" si="13"/>
        <v>10.85</v>
      </c>
      <c r="AF41" s="37"/>
      <c r="AG41" s="31"/>
      <c r="AH41" s="36"/>
      <c r="AI41" s="38">
        <f t="shared" si="14"/>
        <v>0</v>
      </c>
      <c r="AJ41" s="30"/>
      <c r="AK41" s="37"/>
      <c r="AL41" s="36"/>
      <c r="AM41" s="38">
        <f t="shared" si="15"/>
        <v>0</v>
      </c>
      <c r="AN41" s="30"/>
      <c r="AO41" s="31"/>
      <c r="AP41" s="36"/>
      <c r="AQ41" s="46">
        <f t="shared" si="16"/>
        <v>0</v>
      </c>
      <c r="AR41" s="30"/>
      <c r="AS41" s="31"/>
      <c r="AT41" s="36"/>
      <c r="AU41" s="46">
        <f t="shared" si="17"/>
        <v>0</v>
      </c>
      <c r="AV41" s="37"/>
      <c r="AW41" s="46"/>
      <c r="AX41" s="30"/>
      <c r="AY41" s="31"/>
      <c r="AZ41" s="31"/>
    </row>
    <row r="42" spans="1:52" ht="14.4" thickBot="1" x14ac:dyDescent="0.3">
      <c r="A42" s="66">
        <v>214264772</v>
      </c>
      <c r="B42" s="25" t="s">
        <v>97</v>
      </c>
      <c r="C42" s="7" t="s">
        <v>123</v>
      </c>
      <c r="D42" s="30"/>
      <c r="E42" s="30"/>
      <c r="F42" s="31"/>
      <c r="G42" s="36"/>
      <c r="H42" s="36"/>
      <c r="I42" s="31"/>
      <c r="J42" s="31"/>
      <c r="K42" s="37"/>
      <c r="L42" s="38">
        <f t="shared" si="9"/>
        <v>0</v>
      </c>
      <c r="M42" s="39">
        <v>91</v>
      </c>
      <c r="N42" s="31"/>
      <c r="O42" s="31"/>
      <c r="P42" s="31"/>
      <c r="Q42" s="31"/>
      <c r="R42" s="31"/>
      <c r="S42" s="36"/>
      <c r="T42" s="38">
        <f t="shared" si="10"/>
        <v>22.75</v>
      </c>
      <c r="U42" s="56">
        <v>0</v>
      </c>
      <c r="V42" s="36">
        <v>42</v>
      </c>
      <c r="W42" s="45">
        <f t="shared" si="11"/>
        <v>12.6</v>
      </c>
      <c r="X42" s="37"/>
      <c r="Y42" s="54">
        <v>60</v>
      </c>
      <c r="Z42" s="48">
        <v>100</v>
      </c>
      <c r="AA42" s="45">
        <f t="shared" si="12"/>
        <v>51</v>
      </c>
      <c r="AB42" s="26"/>
      <c r="AC42" s="26">
        <v>29</v>
      </c>
      <c r="AD42" s="36"/>
      <c r="AE42" s="38">
        <f t="shared" si="13"/>
        <v>10.149999999999999</v>
      </c>
      <c r="AF42" s="37"/>
      <c r="AG42" s="31"/>
      <c r="AH42" s="36"/>
      <c r="AI42" s="38">
        <f t="shared" si="14"/>
        <v>0</v>
      </c>
      <c r="AJ42" s="30"/>
      <c r="AK42" s="37"/>
      <c r="AL42" s="36"/>
      <c r="AM42" s="38">
        <f t="shared" si="15"/>
        <v>0</v>
      </c>
      <c r="AN42" s="30"/>
      <c r="AO42" s="31"/>
      <c r="AP42" s="36"/>
      <c r="AQ42" s="46">
        <f t="shared" si="16"/>
        <v>0</v>
      </c>
      <c r="AR42" s="30"/>
      <c r="AS42" s="31"/>
      <c r="AT42" s="36"/>
      <c r="AU42" s="46">
        <f t="shared" si="17"/>
        <v>0</v>
      </c>
      <c r="AV42" s="37"/>
      <c r="AW42" s="46"/>
      <c r="AX42" s="30"/>
      <c r="AY42" s="31"/>
      <c r="AZ42" s="31"/>
    </row>
    <row r="43" spans="1:52" ht="14.4" thickBot="1" x14ac:dyDescent="0.3">
      <c r="A43" s="66">
        <v>214647976</v>
      </c>
      <c r="B43" s="25" t="s">
        <v>151</v>
      </c>
      <c r="C43" s="7" t="s">
        <v>123</v>
      </c>
      <c r="D43" s="30"/>
      <c r="E43" s="30"/>
      <c r="F43" s="31"/>
      <c r="G43" s="36"/>
      <c r="H43" s="36"/>
      <c r="I43" s="31"/>
      <c r="J43" s="31"/>
      <c r="K43" s="37"/>
      <c r="L43" s="38">
        <f t="shared" si="9"/>
        <v>0</v>
      </c>
      <c r="M43" s="39"/>
      <c r="N43" s="31"/>
      <c r="O43" s="31"/>
      <c r="P43" s="31"/>
      <c r="Q43" s="31"/>
      <c r="R43" s="31"/>
      <c r="S43" s="36"/>
      <c r="T43" s="38">
        <f t="shared" si="10"/>
        <v>0</v>
      </c>
      <c r="U43" s="55">
        <v>60</v>
      </c>
      <c r="V43" s="36">
        <v>98</v>
      </c>
      <c r="W43" s="45">
        <f t="shared" si="11"/>
        <v>71.400000000000006</v>
      </c>
      <c r="X43" s="37"/>
      <c r="Y43" s="43">
        <v>85</v>
      </c>
      <c r="Z43" s="52">
        <v>100</v>
      </c>
      <c r="AA43" s="45">
        <f t="shared" si="12"/>
        <v>59.75</v>
      </c>
      <c r="AB43" s="26"/>
      <c r="AC43" s="26">
        <v>36</v>
      </c>
      <c r="AD43" s="36"/>
      <c r="AE43" s="38">
        <f t="shared" si="13"/>
        <v>12.6</v>
      </c>
      <c r="AF43" s="37"/>
      <c r="AG43" s="31"/>
      <c r="AH43" s="36"/>
      <c r="AI43" s="38">
        <f t="shared" si="14"/>
        <v>0</v>
      </c>
      <c r="AJ43" s="30"/>
      <c r="AK43" s="37"/>
      <c r="AL43" s="36"/>
      <c r="AM43" s="38">
        <f t="shared" si="15"/>
        <v>0</v>
      </c>
      <c r="AN43" s="30"/>
      <c r="AO43" s="31"/>
      <c r="AP43" s="36"/>
      <c r="AQ43" s="46">
        <f t="shared" si="16"/>
        <v>0</v>
      </c>
      <c r="AR43" s="30"/>
      <c r="AS43" s="31"/>
      <c r="AT43" s="36"/>
      <c r="AU43" s="46">
        <f t="shared" si="17"/>
        <v>0</v>
      </c>
      <c r="AV43" s="37"/>
      <c r="AW43" s="46"/>
      <c r="AX43" s="30"/>
      <c r="AY43" s="31"/>
      <c r="AZ43" s="31"/>
    </row>
    <row r="44" spans="1:52" ht="14.4" thickBot="1" x14ac:dyDescent="0.3">
      <c r="A44" s="66">
        <v>214324204</v>
      </c>
      <c r="B44" s="25" t="s">
        <v>153</v>
      </c>
      <c r="C44" s="7" t="s">
        <v>123</v>
      </c>
      <c r="D44" s="30"/>
      <c r="E44" s="30"/>
      <c r="F44" s="31"/>
      <c r="G44" s="36"/>
      <c r="H44" s="36"/>
      <c r="I44" s="31"/>
      <c r="J44" s="31"/>
      <c r="K44" s="37"/>
      <c r="L44" s="38">
        <f t="shared" si="9"/>
        <v>0</v>
      </c>
      <c r="M44" s="39">
        <v>100</v>
      </c>
      <c r="N44" s="31"/>
      <c r="O44" s="31"/>
      <c r="P44" s="31"/>
      <c r="Q44" s="31"/>
      <c r="R44" s="31"/>
      <c r="S44" s="36"/>
      <c r="T44" s="38">
        <f t="shared" si="10"/>
        <v>25</v>
      </c>
      <c r="U44" s="55">
        <v>72</v>
      </c>
      <c r="V44" s="36">
        <v>78</v>
      </c>
      <c r="W44" s="45">
        <f t="shared" si="11"/>
        <v>73.8</v>
      </c>
      <c r="X44" s="37"/>
      <c r="Y44" s="57">
        <v>93</v>
      </c>
      <c r="Z44" s="52">
        <v>100</v>
      </c>
      <c r="AA44" s="45">
        <f t="shared" si="12"/>
        <v>62.55</v>
      </c>
      <c r="AB44" s="26"/>
      <c r="AC44" s="26">
        <v>76</v>
      </c>
      <c r="AD44" s="36"/>
      <c r="AE44" s="38">
        <f t="shared" si="13"/>
        <v>26.599999999999998</v>
      </c>
      <c r="AF44" s="37"/>
      <c r="AG44" s="31"/>
      <c r="AH44" s="36"/>
      <c r="AI44" s="38">
        <f t="shared" si="14"/>
        <v>0</v>
      </c>
      <c r="AJ44" s="30"/>
      <c r="AK44" s="37"/>
      <c r="AL44" s="36"/>
      <c r="AM44" s="38">
        <f t="shared" si="15"/>
        <v>0</v>
      </c>
      <c r="AN44" s="30"/>
      <c r="AO44" s="31"/>
      <c r="AP44" s="36"/>
      <c r="AQ44" s="46">
        <f t="shared" si="16"/>
        <v>0</v>
      </c>
      <c r="AR44" s="30"/>
      <c r="AS44" s="31"/>
      <c r="AT44" s="36"/>
      <c r="AU44" s="46">
        <f t="shared" si="17"/>
        <v>0</v>
      </c>
      <c r="AV44" s="37"/>
      <c r="AW44" s="46"/>
      <c r="AX44" s="30"/>
      <c r="AY44" s="31"/>
      <c r="AZ44" s="31"/>
    </row>
    <row r="45" spans="1:52" ht="14.4" thickBot="1" x14ac:dyDescent="0.3">
      <c r="A45" s="66">
        <v>345269773</v>
      </c>
      <c r="B45" s="25" t="s">
        <v>155</v>
      </c>
      <c r="C45" s="7" t="s">
        <v>162</v>
      </c>
      <c r="D45" s="30"/>
      <c r="E45" s="30"/>
      <c r="F45" s="31"/>
      <c r="G45" s="36"/>
      <c r="H45" s="36"/>
      <c r="I45" s="31"/>
      <c r="J45" s="31"/>
      <c r="K45" s="37"/>
      <c r="L45" s="38">
        <f t="shared" si="9"/>
        <v>0</v>
      </c>
      <c r="M45" s="39"/>
      <c r="N45" s="31"/>
      <c r="O45" s="31"/>
      <c r="P45" s="31"/>
      <c r="Q45" s="31"/>
      <c r="R45" s="31"/>
      <c r="S45" s="36"/>
      <c r="T45" s="38">
        <f t="shared" si="10"/>
        <v>0</v>
      </c>
      <c r="U45" s="55">
        <v>44</v>
      </c>
      <c r="V45" s="36">
        <v>67</v>
      </c>
      <c r="W45" s="45">
        <f t="shared" si="11"/>
        <v>50.899999999999991</v>
      </c>
      <c r="X45" s="37"/>
      <c r="Y45" s="53">
        <v>65</v>
      </c>
      <c r="Z45" s="48">
        <v>95</v>
      </c>
      <c r="AA45" s="45">
        <f t="shared" si="12"/>
        <v>51.25</v>
      </c>
      <c r="AB45" s="26"/>
      <c r="AC45" s="26">
        <v>39</v>
      </c>
      <c r="AD45" s="36"/>
      <c r="AE45" s="38">
        <f t="shared" si="13"/>
        <v>13.649999999999999</v>
      </c>
      <c r="AF45" s="37"/>
      <c r="AG45" s="31"/>
      <c r="AH45" s="36"/>
      <c r="AI45" s="38">
        <f t="shared" si="14"/>
        <v>0</v>
      </c>
      <c r="AJ45" s="30"/>
      <c r="AK45" s="37"/>
      <c r="AL45" s="36"/>
      <c r="AM45" s="38">
        <f t="shared" si="15"/>
        <v>0</v>
      </c>
      <c r="AN45" s="30"/>
      <c r="AO45" s="31"/>
      <c r="AP45" s="36"/>
      <c r="AQ45" s="46">
        <f t="shared" si="16"/>
        <v>0</v>
      </c>
      <c r="AR45" s="30"/>
      <c r="AS45" s="31"/>
      <c r="AT45" s="36"/>
      <c r="AU45" s="46">
        <f t="shared" si="17"/>
        <v>0</v>
      </c>
      <c r="AV45" s="37"/>
      <c r="AW45" s="46"/>
      <c r="AX45" s="30"/>
      <c r="AY45" s="31"/>
      <c r="AZ45" s="31"/>
    </row>
    <row r="46" spans="1:52" ht="14.4" thickBot="1" x14ac:dyDescent="0.3">
      <c r="A46" s="66">
        <v>345277107</v>
      </c>
      <c r="B46" s="25" t="s">
        <v>288</v>
      </c>
      <c r="C46" s="7" t="s">
        <v>162</v>
      </c>
      <c r="D46" s="30"/>
      <c r="E46" s="30"/>
      <c r="F46" s="31"/>
      <c r="G46" s="36"/>
      <c r="H46" s="36"/>
      <c r="I46" s="31"/>
      <c r="J46" s="31"/>
      <c r="K46" s="37"/>
      <c r="L46" s="38">
        <f t="shared" si="9"/>
        <v>0</v>
      </c>
      <c r="M46" s="39"/>
      <c r="N46" s="31"/>
      <c r="O46" s="31"/>
      <c r="P46" s="31"/>
      <c r="Q46" s="31"/>
      <c r="R46" s="31"/>
      <c r="S46" s="36"/>
      <c r="T46" s="38">
        <f t="shared" si="10"/>
        <v>0</v>
      </c>
      <c r="U46" s="56">
        <v>0</v>
      </c>
      <c r="V46" s="36">
        <v>46</v>
      </c>
      <c r="W46" s="45">
        <f t="shared" si="11"/>
        <v>13.799999999999999</v>
      </c>
      <c r="X46" s="37"/>
      <c r="Y46" s="52">
        <v>100</v>
      </c>
      <c r="Z46" s="48">
        <v>95</v>
      </c>
      <c r="AA46" s="45">
        <f t="shared" si="12"/>
        <v>63.5</v>
      </c>
      <c r="AB46" s="26"/>
      <c r="AC46" s="26">
        <v>23</v>
      </c>
      <c r="AD46" s="36"/>
      <c r="AE46" s="38">
        <f t="shared" si="13"/>
        <v>8.0499999999999989</v>
      </c>
      <c r="AF46" s="37"/>
      <c r="AG46" s="31"/>
      <c r="AH46" s="36"/>
      <c r="AI46" s="38">
        <f t="shared" si="14"/>
        <v>0</v>
      </c>
      <c r="AJ46" s="30"/>
      <c r="AK46" s="37"/>
      <c r="AL46" s="36"/>
      <c r="AM46" s="38">
        <f t="shared" si="15"/>
        <v>0</v>
      </c>
      <c r="AN46" s="30"/>
      <c r="AO46" s="31"/>
      <c r="AP46" s="36"/>
      <c r="AQ46" s="46">
        <f t="shared" si="16"/>
        <v>0</v>
      </c>
      <c r="AR46" s="30"/>
      <c r="AS46" s="31"/>
      <c r="AT46" s="36"/>
      <c r="AU46" s="46">
        <f t="shared" si="17"/>
        <v>0</v>
      </c>
      <c r="AV46" s="37"/>
      <c r="AW46" s="46"/>
      <c r="AX46" s="30"/>
      <c r="AY46" s="31"/>
      <c r="AZ46" s="31"/>
    </row>
    <row r="47" spans="1:52" ht="14.4" thickBot="1" x14ac:dyDescent="0.3">
      <c r="A47" s="66">
        <v>213567639</v>
      </c>
      <c r="B47" s="25" t="s">
        <v>157</v>
      </c>
      <c r="C47" s="7" t="s">
        <v>162</v>
      </c>
      <c r="D47" s="30"/>
      <c r="E47" s="30"/>
      <c r="F47" s="31"/>
      <c r="G47" s="36"/>
      <c r="H47" s="36"/>
      <c r="I47" s="31"/>
      <c r="J47" s="31"/>
      <c r="K47" s="37"/>
      <c r="L47" s="38">
        <f t="shared" si="9"/>
        <v>0</v>
      </c>
      <c r="M47" s="39">
        <v>91</v>
      </c>
      <c r="N47" s="31"/>
      <c r="O47" s="31"/>
      <c r="P47" s="31"/>
      <c r="Q47" s="31"/>
      <c r="R47" s="31"/>
      <c r="S47" s="36"/>
      <c r="T47" s="38">
        <f t="shared" si="10"/>
        <v>22.75</v>
      </c>
      <c r="U47" s="55">
        <v>50</v>
      </c>
      <c r="V47" s="36">
        <v>51</v>
      </c>
      <c r="W47" s="45">
        <f t="shared" si="11"/>
        <v>50.3</v>
      </c>
      <c r="X47" s="37"/>
      <c r="Y47" s="47">
        <v>70</v>
      </c>
      <c r="Z47" s="48">
        <v>100</v>
      </c>
      <c r="AA47" s="45">
        <f t="shared" si="12"/>
        <v>54.5</v>
      </c>
      <c r="AB47" s="26"/>
      <c r="AC47" s="26">
        <v>32</v>
      </c>
      <c r="AD47" s="36"/>
      <c r="AE47" s="38">
        <f t="shared" si="13"/>
        <v>11.2</v>
      </c>
      <c r="AF47" s="37"/>
      <c r="AG47" s="31"/>
      <c r="AH47" s="36"/>
      <c r="AI47" s="38">
        <f t="shared" si="14"/>
        <v>0</v>
      </c>
      <c r="AJ47" s="30"/>
      <c r="AK47" s="37"/>
      <c r="AL47" s="36"/>
      <c r="AM47" s="38">
        <f t="shared" si="15"/>
        <v>0</v>
      </c>
      <c r="AN47" s="30"/>
      <c r="AO47" s="31"/>
      <c r="AP47" s="36"/>
      <c r="AQ47" s="46">
        <f t="shared" si="16"/>
        <v>0</v>
      </c>
      <c r="AR47" s="30"/>
      <c r="AS47" s="31"/>
      <c r="AT47" s="36"/>
      <c r="AU47" s="46">
        <f t="shared" si="17"/>
        <v>0</v>
      </c>
      <c r="AV47" s="37"/>
      <c r="AW47" s="46"/>
      <c r="AX47" s="30"/>
      <c r="AY47" s="31"/>
      <c r="AZ47" s="31"/>
    </row>
    <row r="48" spans="1:52" ht="14.4" thickBot="1" x14ac:dyDescent="0.3">
      <c r="A48" s="66">
        <v>346294861</v>
      </c>
      <c r="B48" s="25" t="s">
        <v>159</v>
      </c>
      <c r="C48" s="7" t="s">
        <v>162</v>
      </c>
      <c r="D48" s="30"/>
      <c r="E48" s="30"/>
      <c r="F48" s="31"/>
      <c r="G48" s="36"/>
      <c r="H48" s="36"/>
      <c r="I48" s="31"/>
      <c r="J48" s="31"/>
      <c r="K48" s="37"/>
      <c r="L48" s="38">
        <f t="shared" si="9"/>
        <v>0</v>
      </c>
      <c r="M48" s="39">
        <v>98</v>
      </c>
      <c r="N48" s="31"/>
      <c r="O48" s="31"/>
      <c r="P48" s="31"/>
      <c r="Q48" s="31"/>
      <c r="R48" s="31"/>
      <c r="S48" s="36"/>
      <c r="T48" s="38">
        <f t="shared" si="10"/>
        <v>24.5</v>
      </c>
      <c r="U48" s="56">
        <v>0</v>
      </c>
      <c r="V48" s="36">
        <v>52</v>
      </c>
      <c r="W48" s="45">
        <f t="shared" si="11"/>
        <v>15.6</v>
      </c>
      <c r="X48" s="37"/>
      <c r="Y48" s="53">
        <v>65</v>
      </c>
      <c r="Z48" s="48">
        <v>100</v>
      </c>
      <c r="AA48" s="45">
        <f t="shared" si="12"/>
        <v>52.75</v>
      </c>
      <c r="AB48" s="26"/>
      <c r="AC48" s="31">
        <v>0</v>
      </c>
      <c r="AD48" s="36"/>
      <c r="AE48" s="38">
        <f t="shared" si="13"/>
        <v>0</v>
      </c>
      <c r="AF48" s="37"/>
      <c r="AG48" s="31"/>
      <c r="AH48" s="36"/>
      <c r="AI48" s="38">
        <f t="shared" si="14"/>
        <v>0</v>
      </c>
      <c r="AJ48" s="30"/>
      <c r="AK48" s="37"/>
      <c r="AL48" s="36"/>
      <c r="AM48" s="38">
        <f t="shared" si="15"/>
        <v>0</v>
      </c>
      <c r="AN48" s="30"/>
      <c r="AO48" s="31"/>
      <c r="AP48" s="36"/>
      <c r="AQ48" s="46">
        <f t="shared" si="16"/>
        <v>0</v>
      </c>
      <c r="AR48" s="30"/>
      <c r="AS48" s="31"/>
      <c r="AT48" s="36"/>
      <c r="AU48" s="46">
        <f t="shared" si="17"/>
        <v>0</v>
      </c>
      <c r="AV48" s="37"/>
      <c r="AW48" s="46"/>
      <c r="AX48" s="30"/>
      <c r="AY48" s="31"/>
      <c r="AZ48" s="31"/>
    </row>
    <row r="49" spans="1:52" ht="14.4" thickBot="1" x14ac:dyDescent="0.3">
      <c r="A49" s="66">
        <v>325492163</v>
      </c>
      <c r="B49" s="24" t="s">
        <v>161</v>
      </c>
      <c r="C49" s="7" t="s">
        <v>162</v>
      </c>
      <c r="D49" s="30"/>
      <c r="E49" s="30"/>
      <c r="F49" s="31"/>
      <c r="G49" s="36"/>
      <c r="H49" s="36"/>
      <c r="I49" s="31"/>
      <c r="J49" s="31"/>
      <c r="K49" s="37"/>
      <c r="L49" s="38">
        <f t="shared" si="9"/>
        <v>0</v>
      </c>
      <c r="M49" s="39"/>
      <c r="N49" s="31"/>
      <c r="O49" s="31"/>
      <c r="P49" s="31"/>
      <c r="Q49" s="31"/>
      <c r="R49" s="31"/>
      <c r="S49" s="36"/>
      <c r="T49" s="38">
        <f t="shared" si="10"/>
        <v>0</v>
      </c>
      <c r="U49" s="55">
        <v>55</v>
      </c>
      <c r="V49" s="36">
        <v>80</v>
      </c>
      <c r="W49" s="45">
        <f t="shared" si="11"/>
        <v>62.5</v>
      </c>
      <c r="X49" s="37"/>
      <c r="Y49" s="52">
        <v>100</v>
      </c>
      <c r="Z49" s="50">
        <v>90</v>
      </c>
      <c r="AA49" s="45">
        <f t="shared" si="12"/>
        <v>62</v>
      </c>
      <c r="AB49" s="37"/>
      <c r="AC49" s="26">
        <v>62</v>
      </c>
      <c r="AD49" s="36"/>
      <c r="AE49" s="38">
        <f t="shared" si="13"/>
        <v>21.7</v>
      </c>
      <c r="AF49" s="37"/>
      <c r="AG49" s="31"/>
      <c r="AH49" s="36"/>
      <c r="AI49" s="38">
        <f t="shared" si="14"/>
        <v>0</v>
      </c>
      <c r="AJ49" s="30"/>
      <c r="AK49" s="37"/>
      <c r="AL49" s="36"/>
      <c r="AM49" s="38">
        <f t="shared" si="15"/>
        <v>0</v>
      </c>
      <c r="AN49" s="30"/>
      <c r="AO49" s="31"/>
      <c r="AP49" s="36"/>
      <c r="AQ49" s="46">
        <f t="shared" si="16"/>
        <v>0</v>
      </c>
      <c r="AR49" s="30"/>
      <c r="AS49" s="31"/>
      <c r="AT49" s="36"/>
      <c r="AU49" s="46">
        <f t="shared" si="17"/>
        <v>0</v>
      </c>
      <c r="AV49" s="37"/>
      <c r="AW49" s="46"/>
      <c r="AX49" s="30"/>
      <c r="AY49" s="31"/>
      <c r="AZ49" s="31"/>
    </row>
    <row r="50" spans="1:52" ht="14.4" thickBot="1" x14ac:dyDescent="0.3">
      <c r="A50" s="66">
        <v>213388705</v>
      </c>
      <c r="B50" s="25" t="s">
        <v>164</v>
      </c>
      <c r="C50" s="7" t="s">
        <v>162</v>
      </c>
      <c r="D50" s="30"/>
      <c r="E50" s="30"/>
      <c r="F50" s="31"/>
      <c r="G50" s="36"/>
      <c r="H50" s="36"/>
      <c r="I50" s="31"/>
      <c r="J50" s="31"/>
      <c r="K50" s="37"/>
      <c r="L50" s="38">
        <f t="shared" si="9"/>
        <v>0</v>
      </c>
      <c r="M50" s="39">
        <v>90</v>
      </c>
      <c r="N50" s="31"/>
      <c r="O50" s="31"/>
      <c r="P50" s="31"/>
      <c r="Q50" s="31"/>
      <c r="R50" s="31"/>
      <c r="S50" s="36"/>
      <c r="T50" s="38">
        <f t="shared" si="10"/>
        <v>22.5</v>
      </c>
      <c r="U50" s="56">
        <v>0</v>
      </c>
      <c r="V50" s="36">
        <v>48</v>
      </c>
      <c r="W50" s="45">
        <f t="shared" si="11"/>
        <v>14.399999999999999</v>
      </c>
      <c r="X50" s="37"/>
      <c r="Y50" s="51">
        <v>80</v>
      </c>
      <c r="Z50" s="52">
        <v>100</v>
      </c>
      <c r="AA50" s="45">
        <f t="shared" si="12"/>
        <v>58</v>
      </c>
      <c r="AB50" s="37"/>
      <c r="AC50" s="26">
        <v>55</v>
      </c>
      <c r="AD50" s="36"/>
      <c r="AE50" s="38">
        <f t="shared" si="13"/>
        <v>19.25</v>
      </c>
      <c r="AF50" s="37"/>
      <c r="AG50" s="31"/>
      <c r="AH50" s="36"/>
      <c r="AI50" s="38">
        <f t="shared" si="14"/>
        <v>0</v>
      </c>
      <c r="AJ50" s="30"/>
      <c r="AK50" s="37"/>
      <c r="AL50" s="36"/>
      <c r="AM50" s="38">
        <f t="shared" si="15"/>
        <v>0</v>
      </c>
      <c r="AN50" s="30"/>
      <c r="AO50" s="31"/>
      <c r="AP50" s="36"/>
      <c r="AQ50" s="46">
        <f t="shared" si="16"/>
        <v>0</v>
      </c>
      <c r="AR50" s="30"/>
      <c r="AS50" s="31"/>
      <c r="AT50" s="36"/>
      <c r="AU50" s="46">
        <f t="shared" si="17"/>
        <v>0</v>
      </c>
      <c r="AV50" s="37"/>
      <c r="AW50" s="46"/>
      <c r="AX50" s="30"/>
      <c r="AY50" s="31"/>
      <c r="AZ50" s="31"/>
    </row>
    <row r="51" spans="1:52" ht="14.4" thickBot="1" x14ac:dyDescent="0.3">
      <c r="A51" s="66">
        <v>214041741</v>
      </c>
      <c r="B51" s="25" t="s">
        <v>166</v>
      </c>
      <c r="C51" s="7" t="s">
        <v>162</v>
      </c>
      <c r="D51" s="30"/>
      <c r="E51" s="30"/>
      <c r="F51" s="31"/>
      <c r="G51" s="36"/>
      <c r="H51" s="36"/>
      <c r="I51" s="31"/>
      <c r="J51" s="31"/>
      <c r="K51" s="37"/>
      <c r="L51" s="38">
        <f t="shared" si="9"/>
        <v>0</v>
      </c>
      <c r="M51" s="39">
        <v>88</v>
      </c>
      <c r="N51" s="31"/>
      <c r="O51" s="31"/>
      <c r="P51" s="31"/>
      <c r="Q51" s="31"/>
      <c r="R51" s="31"/>
      <c r="S51" s="36"/>
      <c r="T51" s="38">
        <f t="shared" si="10"/>
        <v>22</v>
      </c>
      <c r="U51" s="56">
        <v>0</v>
      </c>
      <c r="V51" s="36"/>
      <c r="W51" s="45">
        <f t="shared" si="11"/>
        <v>0</v>
      </c>
      <c r="X51" s="37"/>
      <c r="Y51" s="54">
        <v>60</v>
      </c>
      <c r="Z51" s="50">
        <v>90</v>
      </c>
      <c r="AA51" s="45">
        <f t="shared" si="12"/>
        <v>48</v>
      </c>
      <c r="AB51" s="37"/>
      <c r="AC51" s="26">
        <v>0</v>
      </c>
      <c r="AD51" s="36"/>
      <c r="AE51" s="38">
        <f t="shared" si="13"/>
        <v>0</v>
      </c>
      <c r="AF51" s="37"/>
      <c r="AG51" s="31"/>
      <c r="AH51" s="36"/>
      <c r="AI51" s="38">
        <f t="shared" si="14"/>
        <v>0</v>
      </c>
      <c r="AJ51" s="30"/>
      <c r="AK51" s="37"/>
      <c r="AL51" s="36"/>
      <c r="AM51" s="38">
        <f t="shared" si="15"/>
        <v>0</v>
      </c>
      <c r="AN51" s="30"/>
      <c r="AO51" s="31"/>
      <c r="AP51" s="36"/>
      <c r="AQ51" s="46">
        <f t="shared" si="16"/>
        <v>0</v>
      </c>
      <c r="AR51" s="30"/>
      <c r="AS51" s="31"/>
      <c r="AT51" s="36"/>
      <c r="AU51" s="46">
        <f t="shared" si="17"/>
        <v>0</v>
      </c>
      <c r="AV51" s="37"/>
      <c r="AW51" s="46"/>
      <c r="AX51" s="30"/>
      <c r="AY51" s="31"/>
      <c r="AZ51" s="31"/>
    </row>
    <row r="52" spans="1:52" ht="14.4" thickBot="1" x14ac:dyDescent="0.3">
      <c r="A52" s="66">
        <v>214264764</v>
      </c>
      <c r="B52" s="25" t="s">
        <v>168</v>
      </c>
      <c r="C52" s="7" t="s">
        <v>162</v>
      </c>
      <c r="D52" s="30"/>
      <c r="E52" s="30"/>
      <c r="F52" s="31"/>
      <c r="G52" s="36"/>
      <c r="H52" s="36"/>
      <c r="I52" s="31"/>
      <c r="J52" s="31"/>
      <c r="K52" s="37"/>
      <c r="L52" s="38">
        <f t="shared" si="9"/>
        <v>0</v>
      </c>
      <c r="M52" s="39">
        <v>100</v>
      </c>
      <c r="N52" s="31"/>
      <c r="O52" s="31"/>
      <c r="P52" s="31"/>
      <c r="Q52" s="31"/>
      <c r="R52" s="31"/>
      <c r="S52" s="36"/>
      <c r="T52" s="38">
        <f t="shared" si="10"/>
        <v>25</v>
      </c>
      <c r="U52" s="55">
        <v>47</v>
      </c>
      <c r="V52" s="36">
        <v>77</v>
      </c>
      <c r="W52" s="45">
        <f t="shared" si="11"/>
        <v>56</v>
      </c>
      <c r="X52" s="37"/>
      <c r="Y52" s="47">
        <v>70</v>
      </c>
      <c r="Z52" s="52">
        <v>100</v>
      </c>
      <c r="AA52" s="45">
        <f t="shared" si="12"/>
        <v>54.5</v>
      </c>
      <c r="AB52" s="37"/>
      <c r="AC52" s="26">
        <v>20</v>
      </c>
      <c r="AD52" s="36"/>
      <c r="AE52" s="38">
        <f t="shared" si="13"/>
        <v>7</v>
      </c>
      <c r="AF52" s="37"/>
      <c r="AG52" s="31"/>
      <c r="AH52" s="36"/>
      <c r="AI52" s="38">
        <f t="shared" si="14"/>
        <v>0</v>
      </c>
      <c r="AJ52" s="30"/>
      <c r="AK52" s="37"/>
      <c r="AL52" s="36"/>
      <c r="AM52" s="38">
        <f t="shared" si="15"/>
        <v>0</v>
      </c>
      <c r="AN52" s="30"/>
      <c r="AO52" s="31"/>
      <c r="AP52" s="36"/>
      <c r="AQ52" s="46">
        <f t="shared" si="16"/>
        <v>0</v>
      </c>
      <c r="AR52" s="30"/>
      <c r="AS52" s="31"/>
      <c r="AT52" s="36"/>
      <c r="AU52" s="46">
        <f t="shared" si="17"/>
        <v>0</v>
      </c>
      <c r="AV52" s="37"/>
      <c r="AW52" s="46"/>
      <c r="AX52" s="30"/>
      <c r="AY52" s="31"/>
      <c r="AZ52" s="31"/>
    </row>
    <row r="53" spans="1:52" ht="14.4" thickBot="1" x14ac:dyDescent="0.3">
      <c r="A53" s="66">
        <v>214263386</v>
      </c>
      <c r="B53" s="25" t="s">
        <v>170</v>
      </c>
      <c r="C53" s="7" t="s">
        <v>162</v>
      </c>
      <c r="D53" s="30"/>
      <c r="E53" s="30"/>
      <c r="F53" s="31"/>
      <c r="G53" s="36"/>
      <c r="H53" s="36"/>
      <c r="I53" s="31"/>
      <c r="J53" s="31"/>
      <c r="K53" s="37"/>
      <c r="L53" s="38">
        <f t="shared" si="9"/>
        <v>0</v>
      </c>
      <c r="M53" s="39">
        <v>65</v>
      </c>
      <c r="N53" s="31"/>
      <c r="O53" s="31"/>
      <c r="P53" s="31"/>
      <c r="Q53" s="31"/>
      <c r="R53" s="31"/>
      <c r="S53" s="36"/>
      <c r="T53" s="38">
        <f t="shared" si="10"/>
        <v>16.25</v>
      </c>
      <c r="U53" s="55">
        <v>49</v>
      </c>
      <c r="V53" s="36"/>
      <c r="W53" s="45">
        <f t="shared" si="11"/>
        <v>34.299999999999997</v>
      </c>
      <c r="X53" s="37"/>
      <c r="Y53" s="49">
        <v>56</v>
      </c>
      <c r="Z53" s="52">
        <v>100</v>
      </c>
      <c r="AA53" s="45">
        <f t="shared" si="12"/>
        <v>49.599999999999994</v>
      </c>
      <c r="AB53" s="37"/>
      <c r="AC53" s="26">
        <v>45</v>
      </c>
      <c r="AD53" s="36"/>
      <c r="AE53" s="38">
        <f t="shared" si="13"/>
        <v>15.749999999999998</v>
      </c>
      <c r="AF53" s="37"/>
      <c r="AG53" s="31"/>
      <c r="AH53" s="36"/>
      <c r="AI53" s="38">
        <f t="shared" si="14"/>
        <v>0</v>
      </c>
      <c r="AJ53" s="30"/>
      <c r="AK53" s="37"/>
      <c r="AL53" s="36"/>
      <c r="AM53" s="38">
        <f t="shared" si="15"/>
        <v>0</v>
      </c>
      <c r="AN53" s="30"/>
      <c r="AO53" s="31"/>
      <c r="AP53" s="36"/>
      <c r="AQ53" s="46">
        <f t="shared" si="16"/>
        <v>0</v>
      </c>
      <c r="AR53" s="30"/>
      <c r="AS53" s="31"/>
      <c r="AT53" s="36"/>
      <c r="AU53" s="46">
        <f t="shared" si="17"/>
        <v>0</v>
      </c>
      <c r="AV53" s="37"/>
      <c r="AW53" s="46"/>
      <c r="AX53" s="30"/>
      <c r="AY53" s="31"/>
      <c r="AZ53" s="31"/>
    </row>
    <row r="54" spans="1:52" ht="14.4" thickBot="1" x14ac:dyDescent="0.3">
      <c r="A54" s="66">
        <v>214586943</v>
      </c>
      <c r="B54" s="25" t="s">
        <v>172</v>
      </c>
      <c r="C54" s="7" t="s">
        <v>162</v>
      </c>
      <c r="D54" s="30"/>
      <c r="E54" s="30"/>
      <c r="F54" s="31"/>
      <c r="G54" s="36"/>
      <c r="H54" s="36"/>
      <c r="I54" s="31"/>
      <c r="J54" s="31"/>
      <c r="K54" s="37"/>
      <c r="L54" s="38">
        <f t="shared" si="9"/>
        <v>0</v>
      </c>
      <c r="M54" s="39">
        <v>95</v>
      </c>
      <c r="N54" s="31"/>
      <c r="O54" s="31"/>
      <c r="P54" s="31"/>
      <c r="Q54" s="31"/>
      <c r="R54" s="31"/>
      <c r="S54" s="36"/>
      <c r="T54" s="38">
        <f t="shared" si="10"/>
        <v>23.75</v>
      </c>
      <c r="U54" s="56">
        <v>0</v>
      </c>
      <c r="V54" s="36">
        <v>83</v>
      </c>
      <c r="W54" s="45">
        <f t="shared" si="11"/>
        <v>24.9</v>
      </c>
      <c r="X54" s="37"/>
      <c r="Y54" s="47">
        <v>70</v>
      </c>
      <c r="Z54" s="52">
        <v>100</v>
      </c>
      <c r="AA54" s="45">
        <f t="shared" si="12"/>
        <v>54.5</v>
      </c>
      <c r="AB54" s="37"/>
      <c r="AC54" s="26">
        <v>29</v>
      </c>
      <c r="AD54" s="36"/>
      <c r="AE54" s="38">
        <f t="shared" si="13"/>
        <v>10.149999999999999</v>
      </c>
      <c r="AF54" s="37"/>
      <c r="AG54" s="31"/>
      <c r="AH54" s="36"/>
      <c r="AI54" s="38">
        <f t="shared" si="14"/>
        <v>0</v>
      </c>
      <c r="AJ54" s="30"/>
      <c r="AK54" s="37"/>
      <c r="AL54" s="36"/>
      <c r="AM54" s="38">
        <f t="shared" si="15"/>
        <v>0</v>
      </c>
      <c r="AN54" s="30"/>
      <c r="AO54" s="31"/>
      <c r="AP54" s="36"/>
      <c r="AQ54" s="46">
        <f t="shared" si="16"/>
        <v>0</v>
      </c>
      <c r="AR54" s="30"/>
      <c r="AS54" s="31"/>
      <c r="AT54" s="36"/>
      <c r="AU54" s="46">
        <f t="shared" si="17"/>
        <v>0</v>
      </c>
      <c r="AV54" s="37"/>
      <c r="AW54" s="46"/>
      <c r="AX54" s="30"/>
      <c r="AY54" s="31"/>
      <c r="AZ54" s="31"/>
    </row>
    <row r="55" spans="1:52" ht="14.4" thickBot="1" x14ac:dyDescent="0.3">
      <c r="A55" s="66">
        <v>213185564</v>
      </c>
      <c r="B55" s="25" t="s">
        <v>174</v>
      </c>
      <c r="C55" s="7" t="s">
        <v>162</v>
      </c>
      <c r="D55" s="30"/>
      <c r="E55" s="30"/>
      <c r="F55" s="31"/>
      <c r="G55" s="36"/>
      <c r="H55" s="36"/>
      <c r="I55" s="31"/>
      <c r="J55" s="31"/>
      <c r="K55" s="37"/>
      <c r="L55" s="38">
        <f t="shared" si="9"/>
        <v>0</v>
      </c>
      <c r="M55" s="39">
        <v>100</v>
      </c>
      <c r="N55" s="31"/>
      <c r="O55" s="31"/>
      <c r="P55" s="31"/>
      <c r="Q55" s="31"/>
      <c r="R55" s="31"/>
      <c r="S55" s="36"/>
      <c r="T55" s="38">
        <f t="shared" si="10"/>
        <v>25</v>
      </c>
      <c r="U55" s="55">
        <v>22</v>
      </c>
      <c r="V55" s="36"/>
      <c r="W55" s="45">
        <f t="shared" si="11"/>
        <v>15.399999999999999</v>
      </c>
      <c r="X55" s="37"/>
      <c r="Y55" s="49">
        <v>56</v>
      </c>
      <c r="Z55" s="48">
        <v>100</v>
      </c>
      <c r="AA55" s="45">
        <f t="shared" si="12"/>
        <v>49.599999999999994</v>
      </c>
      <c r="AB55" s="37"/>
      <c r="AC55" s="26">
        <v>0</v>
      </c>
      <c r="AD55" s="36"/>
      <c r="AE55" s="38">
        <f t="shared" si="13"/>
        <v>0</v>
      </c>
      <c r="AF55" s="37"/>
      <c r="AG55" s="31"/>
      <c r="AH55" s="36"/>
      <c r="AI55" s="38">
        <f t="shared" si="14"/>
        <v>0</v>
      </c>
      <c r="AJ55" s="30"/>
      <c r="AK55" s="37"/>
      <c r="AL55" s="36"/>
      <c r="AM55" s="38">
        <f t="shared" si="15"/>
        <v>0</v>
      </c>
      <c r="AN55" s="30"/>
      <c r="AO55" s="31"/>
      <c r="AP55" s="36"/>
      <c r="AQ55" s="46">
        <f t="shared" si="16"/>
        <v>0</v>
      </c>
      <c r="AR55" s="30"/>
      <c r="AS55" s="31"/>
      <c r="AT55" s="36"/>
      <c r="AU55" s="46">
        <f t="shared" si="17"/>
        <v>0</v>
      </c>
      <c r="AV55" s="37"/>
      <c r="AW55" s="46"/>
      <c r="AX55" s="30"/>
      <c r="AY55" s="31"/>
      <c r="AZ55" s="31"/>
    </row>
    <row r="56" spans="1:52" ht="14.4" thickBot="1" x14ac:dyDescent="0.3">
      <c r="A56" s="66">
        <v>213264427</v>
      </c>
      <c r="B56" s="25" t="s">
        <v>176</v>
      </c>
      <c r="C56" s="7" t="s">
        <v>162</v>
      </c>
      <c r="D56" s="30"/>
      <c r="E56" s="30"/>
      <c r="F56" s="31"/>
      <c r="G56" s="36"/>
      <c r="H56" s="36"/>
      <c r="I56" s="31"/>
      <c r="J56" s="31"/>
      <c r="K56" s="37"/>
      <c r="L56" s="38">
        <f t="shared" si="9"/>
        <v>0</v>
      </c>
      <c r="M56" s="39"/>
      <c r="N56" s="31"/>
      <c r="O56" s="31"/>
      <c r="P56" s="31"/>
      <c r="Q56" s="31"/>
      <c r="R56" s="31"/>
      <c r="S56" s="36"/>
      <c r="T56" s="38">
        <f t="shared" si="10"/>
        <v>0</v>
      </c>
      <c r="U56" s="55">
        <v>84</v>
      </c>
      <c r="V56" s="36">
        <v>86</v>
      </c>
      <c r="W56" s="45">
        <f t="shared" si="11"/>
        <v>84.6</v>
      </c>
      <c r="X56" s="37"/>
      <c r="Y56" s="52">
        <v>100</v>
      </c>
      <c r="Z56" s="52">
        <v>100</v>
      </c>
      <c r="AA56" s="45">
        <f t="shared" si="12"/>
        <v>65</v>
      </c>
      <c r="AB56" s="37"/>
      <c r="AC56" s="26">
        <v>72</v>
      </c>
      <c r="AD56" s="36"/>
      <c r="AE56" s="38">
        <f t="shared" si="13"/>
        <v>25.2</v>
      </c>
      <c r="AF56" s="37"/>
      <c r="AG56" s="31"/>
      <c r="AH56" s="36"/>
      <c r="AI56" s="38">
        <f t="shared" si="14"/>
        <v>0</v>
      </c>
      <c r="AJ56" s="30"/>
      <c r="AK56" s="37"/>
      <c r="AL56" s="36"/>
      <c r="AM56" s="38">
        <f t="shared" si="15"/>
        <v>0</v>
      </c>
      <c r="AN56" s="30"/>
      <c r="AO56" s="31"/>
      <c r="AP56" s="36"/>
      <c r="AQ56" s="46">
        <f t="shared" si="16"/>
        <v>0</v>
      </c>
      <c r="AR56" s="30"/>
      <c r="AS56" s="31"/>
      <c r="AT56" s="36"/>
      <c r="AU56" s="46">
        <f t="shared" si="17"/>
        <v>0</v>
      </c>
      <c r="AV56" s="37"/>
      <c r="AW56" s="46"/>
      <c r="AX56" s="30"/>
      <c r="AY56" s="31"/>
      <c r="AZ56" s="31"/>
    </row>
    <row r="57" spans="1:52" ht="14.4" thickBot="1" x14ac:dyDescent="0.3">
      <c r="A57" s="66">
        <v>342674488</v>
      </c>
      <c r="B57" s="25" t="s">
        <v>178</v>
      </c>
      <c r="C57" s="7" t="s">
        <v>162</v>
      </c>
      <c r="D57" s="30"/>
      <c r="E57" s="30"/>
      <c r="F57" s="31"/>
      <c r="G57" s="36"/>
      <c r="H57" s="36"/>
      <c r="I57" s="31"/>
      <c r="J57" s="31"/>
      <c r="K57" s="37"/>
      <c r="L57" s="38">
        <f t="shared" si="9"/>
        <v>0</v>
      </c>
      <c r="M57" s="39">
        <v>100</v>
      </c>
      <c r="N57" s="31"/>
      <c r="O57" s="31"/>
      <c r="P57" s="31"/>
      <c r="Q57" s="31"/>
      <c r="R57" s="31"/>
      <c r="S57" s="36"/>
      <c r="T57" s="38">
        <f t="shared" si="10"/>
        <v>25</v>
      </c>
      <c r="U57" s="55">
        <v>43</v>
      </c>
      <c r="V57" s="36"/>
      <c r="W57" s="45">
        <f t="shared" si="11"/>
        <v>30.099999999999998</v>
      </c>
      <c r="X57" s="37"/>
      <c r="Y57" s="54">
        <v>60</v>
      </c>
      <c r="Z57" s="48">
        <v>95</v>
      </c>
      <c r="AA57" s="45">
        <f t="shared" si="12"/>
        <v>49.5</v>
      </c>
      <c r="AB57" s="37"/>
      <c r="AC57" s="26">
        <v>47</v>
      </c>
      <c r="AD57" s="36"/>
      <c r="AE57" s="38">
        <f t="shared" si="13"/>
        <v>16.45</v>
      </c>
      <c r="AF57" s="37"/>
      <c r="AG57" s="31"/>
      <c r="AH57" s="36"/>
      <c r="AI57" s="38">
        <f t="shared" si="14"/>
        <v>0</v>
      </c>
      <c r="AJ57" s="30"/>
      <c r="AK57" s="37"/>
      <c r="AL57" s="36"/>
      <c r="AM57" s="38">
        <f t="shared" si="15"/>
        <v>0</v>
      </c>
      <c r="AN57" s="30"/>
      <c r="AO57" s="31"/>
      <c r="AP57" s="36"/>
      <c r="AQ57" s="46">
        <f t="shared" si="16"/>
        <v>0</v>
      </c>
      <c r="AR57" s="30"/>
      <c r="AS57" s="31"/>
      <c r="AT57" s="36"/>
      <c r="AU57" s="46">
        <f t="shared" si="17"/>
        <v>0</v>
      </c>
      <c r="AV57" s="37"/>
      <c r="AW57" s="46"/>
      <c r="AX57" s="30"/>
      <c r="AY57" s="31"/>
      <c r="AZ57" s="31"/>
    </row>
    <row r="58" spans="1:52" ht="14.4" thickBot="1" x14ac:dyDescent="0.3">
      <c r="A58" s="66">
        <v>213180557</v>
      </c>
      <c r="B58" s="25" t="s">
        <v>180</v>
      </c>
      <c r="C58" s="7" t="s">
        <v>162</v>
      </c>
      <c r="D58" s="30"/>
      <c r="E58" s="30"/>
      <c r="F58" s="31"/>
      <c r="G58" s="36"/>
      <c r="H58" s="36"/>
      <c r="I58" s="31"/>
      <c r="J58" s="31"/>
      <c r="K58" s="37"/>
      <c r="L58" s="38">
        <f t="shared" si="9"/>
        <v>0</v>
      </c>
      <c r="M58" s="39">
        <v>100</v>
      </c>
      <c r="N58" s="31"/>
      <c r="O58" s="31"/>
      <c r="P58" s="31"/>
      <c r="Q58" s="31"/>
      <c r="R58" s="31"/>
      <c r="S58" s="36"/>
      <c r="T58" s="38">
        <f t="shared" si="10"/>
        <v>25</v>
      </c>
      <c r="U58" s="55">
        <v>60</v>
      </c>
      <c r="V58" s="36">
        <v>82</v>
      </c>
      <c r="W58" s="45">
        <f t="shared" si="11"/>
        <v>66.599999999999994</v>
      </c>
      <c r="X58" s="37"/>
      <c r="Y58" s="59">
        <v>87</v>
      </c>
      <c r="Z58" s="52">
        <v>100</v>
      </c>
      <c r="AA58" s="45">
        <f t="shared" si="12"/>
        <v>60.45</v>
      </c>
      <c r="AB58" s="37"/>
      <c r="AC58" s="26">
        <v>45</v>
      </c>
      <c r="AD58" s="36"/>
      <c r="AE58" s="38">
        <f t="shared" si="13"/>
        <v>15.749999999999998</v>
      </c>
      <c r="AF58" s="37"/>
      <c r="AG58" s="31"/>
      <c r="AH58" s="36"/>
      <c r="AI58" s="38">
        <f t="shared" si="14"/>
        <v>0</v>
      </c>
      <c r="AJ58" s="30"/>
      <c r="AK58" s="37"/>
      <c r="AL58" s="36"/>
      <c r="AM58" s="38">
        <f t="shared" si="15"/>
        <v>0</v>
      </c>
      <c r="AN58" s="30"/>
      <c r="AO58" s="31"/>
      <c r="AP58" s="36"/>
      <c r="AQ58" s="46">
        <f t="shared" si="16"/>
        <v>0</v>
      </c>
      <c r="AR58" s="30"/>
      <c r="AS58" s="31"/>
      <c r="AT58" s="36"/>
      <c r="AU58" s="46">
        <f t="shared" si="17"/>
        <v>0</v>
      </c>
      <c r="AV58" s="37"/>
      <c r="AW58" s="46"/>
      <c r="AX58" s="30"/>
      <c r="AY58" s="31"/>
      <c r="AZ58" s="31"/>
    </row>
    <row r="59" spans="1:52" ht="14.4" thickBot="1" x14ac:dyDescent="0.3">
      <c r="A59" s="66">
        <v>345248173</v>
      </c>
      <c r="B59" s="25" t="s">
        <v>289</v>
      </c>
      <c r="C59" s="7" t="s">
        <v>162</v>
      </c>
      <c r="D59" s="30"/>
      <c r="E59" s="30"/>
      <c r="F59" s="31"/>
      <c r="G59" s="36"/>
      <c r="H59" s="36"/>
      <c r="I59" s="31"/>
      <c r="J59" s="31"/>
      <c r="K59" s="37"/>
      <c r="L59" s="38">
        <f t="shared" si="9"/>
        <v>0</v>
      </c>
      <c r="M59" s="39"/>
      <c r="N59" s="31"/>
      <c r="O59" s="31"/>
      <c r="P59" s="31"/>
      <c r="Q59" s="31"/>
      <c r="R59" s="31"/>
      <c r="S59" s="36"/>
      <c r="T59" s="38">
        <f t="shared" si="10"/>
        <v>0</v>
      </c>
      <c r="U59" s="55">
        <v>49</v>
      </c>
      <c r="V59" s="36">
        <v>79</v>
      </c>
      <c r="W59" s="45">
        <f t="shared" si="11"/>
        <v>58</v>
      </c>
      <c r="X59" s="37"/>
      <c r="Y59" s="60">
        <v>86</v>
      </c>
      <c r="Z59" s="50">
        <v>90</v>
      </c>
      <c r="AA59" s="45">
        <f t="shared" si="12"/>
        <v>57.099999999999994</v>
      </c>
      <c r="AB59" s="37"/>
      <c r="AC59" s="26">
        <v>15</v>
      </c>
      <c r="AD59" s="36"/>
      <c r="AE59" s="38">
        <f t="shared" si="13"/>
        <v>5.25</v>
      </c>
      <c r="AF59" s="37"/>
      <c r="AG59" s="31"/>
      <c r="AH59" s="36"/>
      <c r="AI59" s="38">
        <f t="shared" si="14"/>
        <v>0</v>
      </c>
      <c r="AJ59" s="30"/>
      <c r="AK59" s="37"/>
      <c r="AL59" s="36"/>
      <c r="AM59" s="38">
        <f t="shared" si="15"/>
        <v>0</v>
      </c>
      <c r="AN59" s="30"/>
      <c r="AO59" s="31"/>
      <c r="AP59" s="36"/>
      <c r="AQ59" s="46">
        <f t="shared" si="16"/>
        <v>0</v>
      </c>
      <c r="AR59" s="30"/>
      <c r="AS59" s="31"/>
      <c r="AT59" s="36"/>
      <c r="AU59" s="46">
        <f t="shared" si="17"/>
        <v>0</v>
      </c>
      <c r="AV59" s="37"/>
      <c r="AW59" s="46"/>
      <c r="AX59" s="30"/>
      <c r="AY59" s="31"/>
      <c r="AZ59" s="31"/>
    </row>
    <row r="60" spans="1:52" ht="14.4" thickBot="1" x14ac:dyDescent="0.3">
      <c r="A60" s="66">
        <v>213200728</v>
      </c>
      <c r="B60" s="25" t="s">
        <v>182</v>
      </c>
      <c r="C60" s="7" t="s">
        <v>162</v>
      </c>
      <c r="D60" s="30"/>
      <c r="E60" s="30"/>
      <c r="F60" s="31"/>
      <c r="G60" s="36"/>
      <c r="H60" s="36"/>
      <c r="I60" s="31"/>
      <c r="J60" s="31"/>
      <c r="K60" s="37"/>
      <c r="L60" s="38">
        <f t="shared" si="9"/>
        <v>0</v>
      </c>
      <c r="M60" s="39">
        <v>100</v>
      </c>
      <c r="N60" s="31"/>
      <c r="O60" s="31"/>
      <c r="P60" s="31"/>
      <c r="Q60" s="31"/>
      <c r="R60" s="31"/>
      <c r="S60" s="36"/>
      <c r="T60" s="38">
        <f t="shared" si="10"/>
        <v>25</v>
      </c>
      <c r="U60" s="55">
        <v>36</v>
      </c>
      <c r="V60" s="36">
        <v>66</v>
      </c>
      <c r="W60" s="45">
        <f t="shared" si="11"/>
        <v>45</v>
      </c>
      <c r="X60" s="37"/>
      <c r="Y60" s="51">
        <v>80</v>
      </c>
      <c r="Z60" s="24">
        <v>100</v>
      </c>
      <c r="AA60" s="45">
        <f t="shared" si="12"/>
        <v>58</v>
      </c>
      <c r="AB60" s="37"/>
      <c r="AC60" s="26">
        <v>26</v>
      </c>
      <c r="AD60" s="36"/>
      <c r="AE60" s="38">
        <f t="shared" si="13"/>
        <v>9.1</v>
      </c>
      <c r="AF60" s="37"/>
      <c r="AG60" s="31"/>
      <c r="AH60" s="36"/>
      <c r="AI60" s="38">
        <f t="shared" si="14"/>
        <v>0</v>
      </c>
      <c r="AJ60" s="30"/>
      <c r="AK60" s="37"/>
      <c r="AL60" s="36"/>
      <c r="AM60" s="38">
        <f t="shared" si="15"/>
        <v>0</v>
      </c>
      <c r="AN60" s="30"/>
      <c r="AO60" s="31"/>
      <c r="AP60" s="36"/>
      <c r="AQ60" s="46">
        <f t="shared" si="16"/>
        <v>0</v>
      </c>
      <c r="AR60" s="30"/>
      <c r="AS60" s="31"/>
      <c r="AT60" s="36"/>
      <c r="AU60" s="46">
        <f t="shared" si="17"/>
        <v>0</v>
      </c>
      <c r="AV60" s="37"/>
      <c r="AW60" s="46"/>
      <c r="AX60" s="30"/>
      <c r="AY60" s="31"/>
      <c r="AZ60" s="31"/>
    </row>
    <row r="61" spans="1:52" ht="14.4" thickBot="1" x14ac:dyDescent="0.3">
      <c r="A61" s="66">
        <v>213454705</v>
      </c>
      <c r="B61" s="25" t="s">
        <v>184</v>
      </c>
      <c r="C61" s="7" t="s">
        <v>162</v>
      </c>
      <c r="D61" s="30"/>
      <c r="E61" s="30"/>
      <c r="F61" s="31"/>
      <c r="G61" s="36"/>
      <c r="H61" s="36"/>
      <c r="I61" s="31"/>
      <c r="J61" s="31"/>
      <c r="K61" s="37"/>
      <c r="L61" s="38">
        <f t="shared" si="9"/>
        <v>0</v>
      </c>
      <c r="M61" s="39">
        <v>89</v>
      </c>
      <c r="N61" s="31"/>
      <c r="O61" s="31"/>
      <c r="P61" s="31"/>
      <c r="Q61" s="31"/>
      <c r="R61" s="31"/>
      <c r="S61" s="36"/>
      <c r="T61" s="38">
        <f t="shared" si="10"/>
        <v>22.25</v>
      </c>
      <c r="U61" s="55">
        <v>63</v>
      </c>
      <c r="V61" s="36">
        <v>66</v>
      </c>
      <c r="W61" s="45">
        <f t="shared" si="11"/>
        <v>63.899999999999991</v>
      </c>
      <c r="X61" s="37"/>
      <c r="Y61" s="61">
        <v>77</v>
      </c>
      <c r="Z61" s="52">
        <v>100</v>
      </c>
      <c r="AA61" s="45">
        <f t="shared" si="12"/>
        <v>56.95</v>
      </c>
      <c r="AB61" s="37"/>
      <c r="AC61" s="26">
        <v>43</v>
      </c>
      <c r="AD61" s="36"/>
      <c r="AE61" s="38">
        <f t="shared" si="13"/>
        <v>15.049999999999999</v>
      </c>
      <c r="AF61" s="37"/>
      <c r="AG61" s="31"/>
      <c r="AH61" s="36"/>
      <c r="AI61" s="38">
        <f t="shared" si="14"/>
        <v>0</v>
      </c>
      <c r="AJ61" s="30"/>
      <c r="AK61" s="37"/>
      <c r="AL61" s="36"/>
      <c r="AM61" s="38">
        <f t="shared" si="15"/>
        <v>0</v>
      </c>
      <c r="AN61" s="30"/>
      <c r="AO61" s="31"/>
      <c r="AP61" s="36"/>
      <c r="AQ61" s="46">
        <f t="shared" si="16"/>
        <v>0</v>
      </c>
      <c r="AR61" s="30"/>
      <c r="AS61" s="31"/>
      <c r="AT61" s="36"/>
      <c r="AU61" s="46">
        <f t="shared" si="17"/>
        <v>0</v>
      </c>
      <c r="AV61" s="37"/>
      <c r="AW61" s="46"/>
      <c r="AX61" s="30"/>
      <c r="AY61" s="31"/>
      <c r="AZ61" s="31"/>
    </row>
    <row r="62" spans="1:52" ht="14.4" thickBot="1" x14ac:dyDescent="0.3">
      <c r="A62" s="66">
        <v>346247737</v>
      </c>
      <c r="B62" s="25" t="s">
        <v>290</v>
      </c>
      <c r="C62" s="7" t="s">
        <v>162</v>
      </c>
      <c r="D62" s="30"/>
      <c r="E62" s="30"/>
      <c r="F62" s="31"/>
      <c r="G62" s="36"/>
      <c r="H62" s="36"/>
      <c r="I62" s="31"/>
      <c r="J62" s="31"/>
      <c r="K62" s="37"/>
      <c r="L62" s="38">
        <f t="shared" si="9"/>
        <v>0</v>
      </c>
      <c r="M62" s="39">
        <v>85</v>
      </c>
      <c r="N62" s="31"/>
      <c r="O62" s="31"/>
      <c r="P62" s="31"/>
      <c r="Q62" s="31"/>
      <c r="R62" s="31"/>
      <c r="S62" s="36"/>
      <c r="T62" s="38">
        <f t="shared" si="10"/>
        <v>21.25</v>
      </c>
      <c r="U62" s="55">
        <v>48</v>
      </c>
      <c r="V62" s="36"/>
      <c r="W62" s="45">
        <f t="shared" si="11"/>
        <v>33.599999999999994</v>
      </c>
      <c r="X62" s="37"/>
      <c r="Y62" s="24"/>
      <c r="Z62" s="24"/>
      <c r="AA62" s="45">
        <f t="shared" si="12"/>
        <v>0</v>
      </c>
      <c r="AB62" s="37"/>
      <c r="AC62" s="26">
        <v>65</v>
      </c>
      <c r="AD62" s="36"/>
      <c r="AE62" s="38">
        <f t="shared" si="13"/>
        <v>22.75</v>
      </c>
      <c r="AF62" s="37"/>
      <c r="AG62" s="31"/>
      <c r="AH62" s="36"/>
      <c r="AI62" s="38">
        <f t="shared" si="14"/>
        <v>0</v>
      </c>
      <c r="AJ62" s="30"/>
      <c r="AK62" s="37"/>
      <c r="AL62" s="36"/>
      <c r="AM62" s="38">
        <f t="shared" si="15"/>
        <v>0</v>
      </c>
      <c r="AN62" s="30"/>
      <c r="AO62" s="31"/>
      <c r="AP62" s="36"/>
      <c r="AQ62" s="46">
        <f t="shared" si="16"/>
        <v>0</v>
      </c>
      <c r="AR62" s="30"/>
      <c r="AS62" s="31"/>
      <c r="AT62" s="36"/>
      <c r="AU62" s="46">
        <f t="shared" si="17"/>
        <v>0</v>
      </c>
      <c r="AV62" s="37"/>
      <c r="AW62" s="46"/>
      <c r="AX62" s="30"/>
      <c r="AY62" s="31"/>
      <c r="AZ62" s="31"/>
    </row>
    <row r="63" spans="1:52" ht="14.4" thickBot="1" x14ac:dyDescent="0.3">
      <c r="A63" s="66">
        <v>213603400</v>
      </c>
      <c r="B63" s="25" t="s">
        <v>188</v>
      </c>
      <c r="C63" s="7" t="s">
        <v>162</v>
      </c>
      <c r="D63" s="30"/>
      <c r="E63" s="30"/>
      <c r="F63" s="31"/>
      <c r="G63" s="36"/>
      <c r="H63" s="36"/>
      <c r="I63" s="31"/>
      <c r="J63" s="31"/>
      <c r="K63" s="37"/>
      <c r="L63" s="38">
        <f t="shared" si="9"/>
        <v>0</v>
      </c>
      <c r="M63" s="39">
        <v>92</v>
      </c>
      <c r="N63" s="31"/>
      <c r="O63" s="31"/>
      <c r="P63" s="31"/>
      <c r="Q63" s="31"/>
      <c r="R63" s="31"/>
      <c r="S63" s="36"/>
      <c r="T63" s="38">
        <f t="shared" si="10"/>
        <v>23</v>
      </c>
      <c r="U63" s="55">
        <v>33</v>
      </c>
      <c r="V63" s="36">
        <v>46</v>
      </c>
      <c r="W63" s="45">
        <f t="shared" si="11"/>
        <v>36.9</v>
      </c>
      <c r="X63" s="37"/>
      <c r="Y63" s="49">
        <v>56</v>
      </c>
      <c r="Z63" s="52">
        <v>100</v>
      </c>
      <c r="AA63" s="45">
        <f t="shared" si="12"/>
        <v>49.599999999999994</v>
      </c>
      <c r="AB63" s="37"/>
      <c r="AC63" s="26">
        <v>22</v>
      </c>
      <c r="AD63" s="36"/>
      <c r="AE63" s="38">
        <f t="shared" si="13"/>
        <v>7.6999999999999993</v>
      </c>
      <c r="AF63" s="37"/>
      <c r="AG63" s="31"/>
      <c r="AH63" s="36"/>
      <c r="AI63" s="38">
        <f t="shared" si="14"/>
        <v>0</v>
      </c>
      <c r="AJ63" s="30"/>
      <c r="AK63" s="37"/>
      <c r="AL63" s="36"/>
      <c r="AM63" s="38">
        <f t="shared" si="15"/>
        <v>0</v>
      </c>
      <c r="AN63" s="30"/>
      <c r="AO63" s="31"/>
      <c r="AP63" s="36"/>
      <c r="AQ63" s="46">
        <f t="shared" si="16"/>
        <v>0</v>
      </c>
      <c r="AR63" s="30"/>
      <c r="AS63" s="31"/>
      <c r="AT63" s="36"/>
      <c r="AU63" s="46">
        <f t="shared" si="17"/>
        <v>0</v>
      </c>
      <c r="AV63" s="37"/>
      <c r="AW63" s="46"/>
      <c r="AX63" s="30"/>
      <c r="AY63" s="31"/>
      <c r="AZ63" s="31"/>
    </row>
    <row r="64" spans="1:52" ht="14.4" thickBot="1" x14ac:dyDescent="0.3">
      <c r="A64" s="66">
        <v>214214470</v>
      </c>
      <c r="B64" s="25" t="s">
        <v>190</v>
      </c>
      <c r="C64" s="7" t="s">
        <v>162</v>
      </c>
      <c r="D64" s="30"/>
      <c r="E64" s="30"/>
      <c r="F64" s="31"/>
      <c r="G64" s="36"/>
      <c r="H64" s="36"/>
      <c r="I64" s="31"/>
      <c r="J64" s="31"/>
      <c r="K64" s="37"/>
      <c r="L64" s="38">
        <f t="shared" si="9"/>
        <v>0</v>
      </c>
      <c r="M64" s="39">
        <v>89</v>
      </c>
      <c r="N64" s="31"/>
      <c r="O64" s="31"/>
      <c r="P64" s="31"/>
      <c r="Q64" s="31"/>
      <c r="R64" s="31"/>
      <c r="S64" s="36"/>
      <c r="T64" s="38">
        <f t="shared" si="10"/>
        <v>22.25</v>
      </c>
      <c r="U64" s="56">
        <v>0</v>
      </c>
      <c r="V64" s="36"/>
      <c r="W64" s="45">
        <f t="shared" si="11"/>
        <v>0</v>
      </c>
      <c r="X64" s="37"/>
      <c r="Y64" s="49">
        <v>56</v>
      </c>
      <c r="Z64" s="48">
        <v>95</v>
      </c>
      <c r="AA64" s="45">
        <f t="shared" si="12"/>
        <v>48.099999999999994</v>
      </c>
      <c r="AB64" s="37"/>
      <c r="AC64" s="26">
        <v>14</v>
      </c>
      <c r="AD64" s="36"/>
      <c r="AE64" s="38">
        <f t="shared" si="13"/>
        <v>4.8999999999999995</v>
      </c>
      <c r="AF64" s="37"/>
      <c r="AG64" s="31"/>
      <c r="AH64" s="36"/>
      <c r="AI64" s="38">
        <f t="shared" si="14"/>
        <v>0</v>
      </c>
      <c r="AJ64" s="30"/>
      <c r="AK64" s="37"/>
      <c r="AL64" s="36"/>
      <c r="AM64" s="38">
        <f t="shared" si="15"/>
        <v>0</v>
      </c>
      <c r="AN64" s="30"/>
      <c r="AO64" s="31"/>
      <c r="AP64" s="36"/>
      <c r="AQ64" s="46">
        <f t="shared" si="16"/>
        <v>0</v>
      </c>
      <c r="AR64" s="30"/>
      <c r="AS64" s="31"/>
      <c r="AT64" s="36"/>
      <c r="AU64" s="46">
        <f t="shared" si="17"/>
        <v>0</v>
      </c>
      <c r="AV64" s="37"/>
      <c r="AW64" s="46"/>
      <c r="AX64" s="30"/>
      <c r="AY64" s="31"/>
      <c r="AZ64" s="31"/>
    </row>
    <row r="65" spans="1:52" ht="14.4" thickBot="1" x14ac:dyDescent="0.3">
      <c r="A65" s="66">
        <v>213181829</v>
      </c>
      <c r="B65" s="25" t="s">
        <v>192</v>
      </c>
      <c r="C65" s="7" t="s">
        <v>162</v>
      </c>
      <c r="D65" s="30"/>
      <c r="E65" s="30"/>
      <c r="F65" s="31"/>
      <c r="G65" s="36"/>
      <c r="H65" s="36"/>
      <c r="I65" s="31"/>
      <c r="J65" s="31"/>
      <c r="K65" s="37"/>
      <c r="L65" s="38">
        <f t="shared" si="9"/>
        <v>0</v>
      </c>
      <c r="M65" s="39">
        <v>100</v>
      </c>
      <c r="N65" s="31"/>
      <c r="O65" s="31"/>
      <c r="P65" s="31"/>
      <c r="Q65" s="31"/>
      <c r="R65" s="31"/>
      <c r="S65" s="36"/>
      <c r="T65" s="38">
        <f t="shared" si="10"/>
        <v>25</v>
      </c>
      <c r="U65" s="55">
        <v>59</v>
      </c>
      <c r="V65" s="36">
        <v>74</v>
      </c>
      <c r="W65" s="45">
        <f t="shared" si="11"/>
        <v>63.5</v>
      </c>
      <c r="X65" s="37"/>
      <c r="Y65" s="62">
        <v>82</v>
      </c>
      <c r="Z65" s="48">
        <v>95</v>
      </c>
      <c r="AA65" s="45">
        <f t="shared" si="12"/>
        <v>57.2</v>
      </c>
      <c r="AB65" s="37"/>
      <c r="AC65" s="26">
        <v>46</v>
      </c>
      <c r="AD65" s="36"/>
      <c r="AE65" s="38">
        <f t="shared" si="13"/>
        <v>16.099999999999998</v>
      </c>
      <c r="AF65" s="37"/>
      <c r="AG65" s="31"/>
      <c r="AH65" s="36"/>
      <c r="AI65" s="38">
        <f t="shared" si="14"/>
        <v>0</v>
      </c>
      <c r="AJ65" s="30"/>
      <c r="AK65" s="37"/>
      <c r="AL65" s="36"/>
      <c r="AM65" s="38">
        <f t="shared" si="15"/>
        <v>0</v>
      </c>
      <c r="AN65" s="30"/>
      <c r="AO65" s="31"/>
      <c r="AP65" s="36"/>
      <c r="AQ65" s="46">
        <f t="shared" si="16"/>
        <v>0</v>
      </c>
      <c r="AR65" s="30"/>
      <c r="AS65" s="31"/>
      <c r="AT65" s="36"/>
      <c r="AU65" s="46">
        <f t="shared" si="17"/>
        <v>0</v>
      </c>
      <c r="AV65" s="37"/>
      <c r="AW65" s="46"/>
      <c r="AX65" s="30"/>
      <c r="AY65" s="31"/>
      <c r="AZ65" s="31"/>
    </row>
    <row r="66" spans="1:52" ht="14.4" thickBot="1" x14ac:dyDescent="0.3">
      <c r="A66" s="66">
        <v>213182579</v>
      </c>
      <c r="B66" s="29" t="s">
        <v>193</v>
      </c>
      <c r="C66" s="7" t="s">
        <v>162</v>
      </c>
      <c r="D66" s="30"/>
      <c r="E66" s="30"/>
      <c r="F66" s="31"/>
      <c r="G66" s="36"/>
      <c r="H66" s="36"/>
      <c r="I66" s="31"/>
      <c r="J66" s="31"/>
      <c r="K66" s="37"/>
      <c r="L66" s="38"/>
      <c r="M66" s="39"/>
      <c r="N66" s="31"/>
      <c r="O66" s="31"/>
      <c r="P66" s="31"/>
      <c r="Q66" s="31"/>
      <c r="R66" s="31"/>
      <c r="S66" s="36"/>
      <c r="T66" s="38"/>
      <c r="U66" s="56"/>
      <c r="V66" s="36"/>
      <c r="W66" s="45"/>
      <c r="X66" s="37"/>
      <c r="Y66" s="37"/>
      <c r="Z66" s="37"/>
      <c r="AA66" s="45"/>
      <c r="AB66" s="37"/>
      <c r="AC66" s="26"/>
      <c r="AD66" s="36"/>
      <c r="AE66" s="38"/>
      <c r="AF66" s="37"/>
      <c r="AG66" s="31"/>
      <c r="AH66" s="36"/>
      <c r="AI66" s="38"/>
      <c r="AJ66" s="30"/>
      <c r="AK66" s="37"/>
      <c r="AL66" s="36"/>
      <c r="AM66" s="38"/>
      <c r="AN66" s="30"/>
      <c r="AO66" s="31"/>
      <c r="AP66" s="36"/>
      <c r="AQ66" s="46"/>
      <c r="AR66" s="30"/>
      <c r="AS66" s="31"/>
      <c r="AT66" s="36"/>
      <c r="AU66" s="46"/>
      <c r="AV66" s="37"/>
      <c r="AW66" s="46"/>
      <c r="AX66" s="30"/>
      <c r="AY66" s="31"/>
      <c r="AZ66" s="31"/>
    </row>
    <row r="67" spans="1:52" ht="14.4" thickBot="1" x14ac:dyDescent="0.3">
      <c r="A67" s="66">
        <v>216962282</v>
      </c>
      <c r="B67" s="25" t="s">
        <v>195</v>
      </c>
      <c r="C67" s="7" t="s">
        <v>205</v>
      </c>
      <c r="D67" s="30"/>
      <c r="E67" s="30"/>
      <c r="F67" s="31"/>
      <c r="G67" s="36"/>
      <c r="H67" s="36"/>
      <c r="I67" s="31"/>
      <c r="J67" s="31"/>
      <c r="K67" s="37"/>
      <c r="L67" s="38">
        <f t="shared" ref="L67:L89" si="18">MAX(
  K67*0.2+J67*0.27+I67*0.26+H67*0.27,
  K67*0.2+H67*0.27+G67*0.26+F67*0.27,
  K67*0.2+F67*0.27+E67*0.26+D67*0.27
)</f>
        <v>0</v>
      </c>
      <c r="M67" s="39">
        <v>52</v>
      </c>
      <c r="N67" s="31"/>
      <c r="O67" s="31"/>
      <c r="P67" s="31"/>
      <c r="Q67" s="31"/>
      <c r="R67" s="31"/>
      <c r="S67" s="36"/>
      <c r="T67" s="38">
        <f t="shared" ref="T67:T89" si="19">MAX(S67*0.4+R67*0.6, Q67*0.65+P67*0.35, O67*0.4+N67*0.35+M67*0.25)</f>
        <v>13</v>
      </c>
      <c r="U67" s="56">
        <v>0</v>
      </c>
      <c r="V67" s="36"/>
      <c r="W67" s="45">
        <f t="shared" ref="W67:W89" si="20">V67*0.3+U67*0.7</f>
        <v>0</v>
      </c>
      <c r="X67" s="37"/>
      <c r="Y67" s="63">
        <v>57</v>
      </c>
      <c r="Z67" s="24"/>
      <c r="AA67" s="45">
        <f t="shared" ref="AA67:AA89" si="21">Z67*0.3+Y67*0.35+X67*0.35</f>
        <v>19.95</v>
      </c>
      <c r="AB67" s="37"/>
      <c r="AC67" s="26">
        <v>0</v>
      </c>
      <c r="AD67" s="36"/>
      <c r="AE67" s="38">
        <f t="shared" ref="AE67:AE89" si="22">AD67*0.3+AC67*0.35+AB67*0.35</f>
        <v>0</v>
      </c>
      <c r="AF67" s="37"/>
      <c r="AG67" s="31"/>
      <c r="AH67" s="36"/>
      <c r="AI67" s="38">
        <f t="shared" ref="AI67:AI89" si="23">AH67*0.3+AG67*0.35+AF67*0.35</f>
        <v>0</v>
      </c>
      <c r="AJ67" s="30"/>
      <c r="AK67" s="37"/>
      <c r="AL67" s="36"/>
      <c r="AM67" s="38">
        <f t="shared" ref="AM67:AM89" si="24">AL67*0.3+AK67*0.35+AJ67*0.35</f>
        <v>0</v>
      </c>
      <c r="AN67" s="30"/>
      <c r="AO67" s="31"/>
      <c r="AP67" s="36"/>
      <c r="AQ67" s="46">
        <f t="shared" ref="AQ67:AQ89" si="25">AP67*0.55+AO67*0.15+AN67*0.3</f>
        <v>0</v>
      </c>
      <c r="AR67" s="30"/>
      <c r="AS67" s="31"/>
      <c r="AT67" s="36"/>
      <c r="AU67" s="46">
        <f t="shared" ref="AU67:AU89" si="26">AR67*0.3+AS67*0.4+AT67*0.3</f>
        <v>0</v>
      </c>
      <c r="AV67" s="37"/>
      <c r="AW67" s="46"/>
      <c r="AX67" s="30"/>
      <c r="AY67" s="31"/>
      <c r="AZ67" s="31"/>
    </row>
    <row r="68" spans="1:52" ht="14.4" thickBot="1" x14ac:dyDescent="0.3">
      <c r="A68" s="66">
        <v>214645228</v>
      </c>
      <c r="B68" s="25" t="s">
        <v>197</v>
      </c>
      <c r="C68" s="7" t="s">
        <v>205</v>
      </c>
      <c r="D68" s="30"/>
      <c r="E68" s="30"/>
      <c r="F68" s="31"/>
      <c r="G68" s="36"/>
      <c r="H68" s="36"/>
      <c r="I68" s="31"/>
      <c r="J68" s="31"/>
      <c r="K68" s="37"/>
      <c r="L68" s="38">
        <f t="shared" si="18"/>
        <v>0</v>
      </c>
      <c r="M68" s="39">
        <v>100</v>
      </c>
      <c r="N68" s="31"/>
      <c r="O68" s="31"/>
      <c r="P68" s="31"/>
      <c r="Q68" s="31"/>
      <c r="R68" s="31"/>
      <c r="S68" s="36"/>
      <c r="T68" s="38">
        <f t="shared" si="19"/>
        <v>25</v>
      </c>
      <c r="U68" s="55">
        <v>56</v>
      </c>
      <c r="V68" s="36">
        <v>70</v>
      </c>
      <c r="W68" s="45">
        <f t="shared" si="20"/>
        <v>60.199999999999996</v>
      </c>
      <c r="X68" s="37"/>
      <c r="Y68" s="48">
        <v>95</v>
      </c>
      <c r="Z68" s="48">
        <v>95</v>
      </c>
      <c r="AA68" s="45">
        <f t="shared" si="21"/>
        <v>61.75</v>
      </c>
      <c r="AB68" s="37"/>
      <c r="AC68" s="26">
        <v>42</v>
      </c>
      <c r="AD68" s="36"/>
      <c r="AE68" s="38">
        <f t="shared" si="22"/>
        <v>14.7</v>
      </c>
      <c r="AF68" s="37"/>
      <c r="AG68" s="31"/>
      <c r="AH68" s="36"/>
      <c r="AI68" s="38">
        <f t="shared" si="23"/>
        <v>0</v>
      </c>
      <c r="AJ68" s="30"/>
      <c r="AK68" s="37"/>
      <c r="AL68" s="36"/>
      <c r="AM68" s="38">
        <f t="shared" si="24"/>
        <v>0</v>
      </c>
      <c r="AN68" s="30"/>
      <c r="AO68" s="31"/>
      <c r="AP68" s="36"/>
      <c r="AQ68" s="46">
        <f t="shared" si="25"/>
        <v>0</v>
      </c>
      <c r="AR68" s="30"/>
      <c r="AS68" s="31"/>
      <c r="AT68" s="36"/>
      <c r="AU68" s="46">
        <f t="shared" si="26"/>
        <v>0</v>
      </c>
      <c r="AV68" s="37"/>
      <c r="AW68" s="46"/>
      <c r="AX68" s="30"/>
      <c r="AY68" s="31"/>
      <c r="AZ68" s="31"/>
    </row>
    <row r="69" spans="1:52" ht="14.4" thickBot="1" x14ac:dyDescent="0.3">
      <c r="A69" s="66">
        <v>346337850</v>
      </c>
      <c r="B69" s="25" t="s">
        <v>291</v>
      </c>
      <c r="C69" s="7" t="s">
        <v>205</v>
      </c>
      <c r="D69" s="30"/>
      <c r="E69" s="30"/>
      <c r="F69" s="31"/>
      <c r="G69" s="36"/>
      <c r="H69" s="36"/>
      <c r="I69" s="31"/>
      <c r="J69" s="31"/>
      <c r="K69" s="37"/>
      <c r="L69" s="38">
        <f t="shared" si="18"/>
        <v>0</v>
      </c>
      <c r="M69" s="39">
        <v>100</v>
      </c>
      <c r="N69" s="31"/>
      <c r="O69" s="31"/>
      <c r="P69" s="31"/>
      <c r="Q69" s="31"/>
      <c r="R69" s="31"/>
      <c r="S69" s="36"/>
      <c r="T69" s="38">
        <f t="shared" si="19"/>
        <v>25</v>
      </c>
      <c r="U69" s="55">
        <v>53</v>
      </c>
      <c r="V69" s="36">
        <v>73</v>
      </c>
      <c r="W69" s="45">
        <f t="shared" si="20"/>
        <v>58.999999999999993</v>
      </c>
      <c r="X69" s="37"/>
      <c r="Y69" s="52">
        <v>100</v>
      </c>
      <c r="Z69" s="52">
        <v>100</v>
      </c>
      <c r="AA69" s="45">
        <f t="shared" si="21"/>
        <v>65</v>
      </c>
      <c r="AB69" s="37"/>
      <c r="AC69" s="26">
        <v>51</v>
      </c>
      <c r="AD69" s="36"/>
      <c r="AE69" s="38">
        <f t="shared" si="22"/>
        <v>17.849999999999998</v>
      </c>
      <c r="AF69" s="37"/>
      <c r="AG69" s="31"/>
      <c r="AH69" s="36"/>
      <c r="AI69" s="38">
        <f t="shared" si="23"/>
        <v>0</v>
      </c>
      <c r="AJ69" s="30"/>
      <c r="AK69" s="37"/>
      <c r="AL69" s="36"/>
      <c r="AM69" s="38">
        <f t="shared" si="24"/>
        <v>0</v>
      </c>
      <c r="AN69" s="30"/>
      <c r="AO69" s="31"/>
      <c r="AP69" s="36"/>
      <c r="AQ69" s="46">
        <f t="shared" si="25"/>
        <v>0</v>
      </c>
      <c r="AR69" s="30"/>
      <c r="AS69" s="31"/>
      <c r="AT69" s="36"/>
      <c r="AU69" s="46">
        <f t="shared" si="26"/>
        <v>0</v>
      </c>
      <c r="AV69" s="37"/>
      <c r="AW69" s="46"/>
      <c r="AX69" s="30"/>
      <c r="AY69" s="31"/>
      <c r="AZ69" s="31"/>
    </row>
    <row r="70" spans="1:52" ht="14.4" thickBot="1" x14ac:dyDescent="0.3">
      <c r="A70" s="66">
        <v>346313497</v>
      </c>
      <c r="B70" s="25" t="s">
        <v>200</v>
      </c>
      <c r="C70" s="7" t="s">
        <v>205</v>
      </c>
      <c r="D70" s="30"/>
      <c r="E70" s="30"/>
      <c r="F70" s="31"/>
      <c r="G70" s="36"/>
      <c r="H70" s="36"/>
      <c r="I70" s="31"/>
      <c r="J70" s="31"/>
      <c r="K70" s="37"/>
      <c r="L70" s="38">
        <f t="shared" si="18"/>
        <v>0</v>
      </c>
      <c r="M70" s="39"/>
      <c r="N70" s="31"/>
      <c r="O70" s="31"/>
      <c r="P70" s="31"/>
      <c r="Q70" s="31"/>
      <c r="R70" s="31"/>
      <c r="S70" s="36"/>
      <c r="T70" s="38">
        <f t="shared" si="19"/>
        <v>0</v>
      </c>
      <c r="U70" s="55">
        <v>77</v>
      </c>
      <c r="V70" s="36">
        <v>80</v>
      </c>
      <c r="W70" s="45">
        <f t="shared" si="20"/>
        <v>77.900000000000006</v>
      </c>
      <c r="X70" s="37"/>
      <c r="Y70" s="52">
        <v>100</v>
      </c>
      <c r="Z70" s="52">
        <v>100</v>
      </c>
      <c r="AA70" s="45">
        <f t="shared" si="21"/>
        <v>65</v>
      </c>
      <c r="AB70" s="37"/>
      <c r="AC70" s="26">
        <v>86</v>
      </c>
      <c r="AD70" s="36"/>
      <c r="AE70" s="38">
        <f t="shared" si="22"/>
        <v>30.099999999999998</v>
      </c>
      <c r="AF70" s="37"/>
      <c r="AG70" s="31"/>
      <c r="AH70" s="36"/>
      <c r="AI70" s="38">
        <f t="shared" si="23"/>
        <v>0</v>
      </c>
      <c r="AJ70" s="30"/>
      <c r="AK70" s="37"/>
      <c r="AL70" s="36"/>
      <c r="AM70" s="38">
        <f t="shared" si="24"/>
        <v>0</v>
      </c>
      <c r="AN70" s="30"/>
      <c r="AO70" s="31"/>
      <c r="AP70" s="36"/>
      <c r="AQ70" s="46">
        <f t="shared" si="25"/>
        <v>0</v>
      </c>
      <c r="AR70" s="30"/>
      <c r="AS70" s="31"/>
      <c r="AT70" s="36"/>
      <c r="AU70" s="46">
        <f t="shared" si="26"/>
        <v>0</v>
      </c>
      <c r="AV70" s="37"/>
      <c r="AW70" s="46"/>
      <c r="AX70" s="30"/>
      <c r="AY70" s="31"/>
      <c r="AZ70" s="31"/>
    </row>
    <row r="71" spans="1:52" ht="14.4" thickBot="1" x14ac:dyDescent="0.3">
      <c r="A71" s="66">
        <v>213180474</v>
      </c>
      <c r="B71" s="25" t="s">
        <v>292</v>
      </c>
      <c r="C71" s="7" t="s">
        <v>205</v>
      </c>
      <c r="D71" s="30"/>
      <c r="E71" s="30"/>
      <c r="F71" s="31"/>
      <c r="G71" s="36"/>
      <c r="H71" s="36"/>
      <c r="I71" s="31"/>
      <c r="J71" s="31"/>
      <c r="K71" s="37"/>
      <c r="L71" s="38">
        <f t="shared" si="18"/>
        <v>0</v>
      </c>
      <c r="M71" s="39">
        <v>100</v>
      </c>
      <c r="N71" s="31"/>
      <c r="O71" s="31"/>
      <c r="P71" s="31"/>
      <c r="Q71" s="31"/>
      <c r="R71" s="31"/>
      <c r="S71" s="36"/>
      <c r="T71" s="38">
        <f t="shared" si="19"/>
        <v>25</v>
      </c>
      <c r="U71" s="55">
        <v>67</v>
      </c>
      <c r="V71" s="36"/>
      <c r="W71" s="45">
        <f t="shared" si="20"/>
        <v>46.9</v>
      </c>
      <c r="X71" s="37"/>
      <c r="Y71" s="24"/>
      <c r="Z71" s="24"/>
      <c r="AA71" s="45">
        <f t="shared" si="21"/>
        <v>0</v>
      </c>
      <c r="AB71" s="37"/>
      <c r="AC71" s="26">
        <v>64</v>
      </c>
      <c r="AD71" s="36"/>
      <c r="AE71" s="38">
        <f t="shared" si="22"/>
        <v>22.4</v>
      </c>
      <c r="AF71" s="37"/>
      <c r="AG71" s="31"/>
      <c r="AH71" s="36"/>
      <c r="AI71" s="38">
        <f t="shared" si="23"/>
        <v>0</v>
      </c>
      <c r="AJ71" s="30"/>
      <c r="AK71" s="37"/>
      <c r="AL71" s="36"/>
      <c r="AM71" s="38">
        <f t="shared" si="24"/>
        <v>0</v>
      </c>
      <c r="AN71" s="30"/>
      <c r="AO71" s="31"/>
      <c r="AP71" s="36"/>
      <c r="AQ71" s="46">
        <f t="shared" si="25"/>
        <v>0</v>
      </c>
      <c r="AR71" s="30"/>
      <c r="AS71" s="31"/>
      <c r="AT71" s="36"/>
      <c r="AU71" s="46">
        <f t="shared" si="26"/>
        <v>0</v>
      </c>
      <c r="AV71" s="37"/>
      <c r="AW71" s="46"/>
      <c r="AX71" s="30"/>
      <c r="AY71" s="31"/>
      <c r="AZ71" s="31"/>
    </row>
    <row r="72" spans="1:52" ht="14.4" thickBot="1" x14ac:dyDescent="0.3">
      <c r="A72" s="66">
        <v>213426547</v>
      </c>
      <c r="B72" s="25" t="s">
        <v>204</v>
      </c>
      <c r="C72" s="7" t="s">
        <v>205</v>
      </c>
      <c r="D72" s="30"/>
      <c r="E72" s="30"/>
      <c r="F72" s="31"/>
      <c r="G72" s="36"/>
      <c r="H72" s="36"/>
      <c r="I72" s="31"/>
      <c r="J72" s="31"/>
      <c r="K72" s="37"/>
      <c r="L72" s="38">
        <f t="shared" si="18"/>
        <v>0</v>
      </c>
      <c r="M72" s="39"/>
      <c r="N72" s="31"/>
      <c r="O72" s="31"/>
      <c r="P72" s="31"/>
      <c r="Q72" s="31"/>
      <c r="R72" s="31"/>
      <c r="S72" s="36"/>
      <c r="T72" s="38">
        <f t="shared" si="19"/>
        <v>0</v>
      </c>
      <c r="U72" s="26">
        <v>79</v>
      </c>
      <c r="V72" s="36">
        <v>85</v>
      </c>
      <c r="W72" s="45">
        <f t="shared" si="20"/>
        <v>80.8</v>
      </c>
      <c r="X72" s="37"/>
      <c r="Y72" s="64">
        <v>92</v>
      </c>
      <c r="Z72" s="52">
        <v>100</v>
      </c>
      <c r="AA72" s="45">
        <f t="shared" si="21"/>
        <v>62.199999999999996</v>
      </c>
      <c r="AB72" s="37"/>
      <c r="AC72" s="55">
        <v>86</v>
      </c>
      <c r="AD72" s="36"/>
      <c r="AE72" s="38">
        <f t="shared" si="22"/>
        <v>30.099999999999998</v>
      </c>
      <c r="AF72" s="37"/>
      <c r="AG72" s="31"/>
      <c r="AH72" s="36"/>
      <c r="AI72" s="38">
        <f t="shared" si="23"/>
        <v>0</v>
      </c>
      <c r="AJ72" s="30"/>
      <c r="AK72" s="37"/>
      <c r="AL72" s="36"/>
      <c r="AM72" s="38">
        <f t="shared" si="24"/>
        <v>0</v>
      </c>
      <c r="AN72" s="30"/>
      <c r="AO72" s="31"/>
      <c r="AP72" s="36"/>
      <c r="AQ72" s="46">
        <f t="shared" si="25"/>
        <v>0</v>
      </c>
      <c r="AR72" s="30"/>
      <c r="AS72" s="31"/>
      <c r="AT72" s="36"/>
      <c r="AU72" s="46">
        <f t="shared" si="26"/>
        <v>0</v>
      </c>
      <c r="AV72" s="37"/>
      <c r="AW72" s="46"/>
      <c r="AX72" s="30"/>
      <c r="AY72" s="31"/>
      <c r="AZ72" s="31"/>
    </row>
    <row r="73" spans="1:52" ht="14.4" thickBot="1" x14ac:dyDescent="0.3">
      <c r="A73" s="66">
        <v>213329972</v>
      </c>
      <c r="B73" s="25" t="s">
        <v>207</v>
      </c>
      <c r="C73" s="7" t="s">
        <v>205</v>
      </c>
      <c r="D73" s="30"/>
      <c r="E73" s="30"/>
      <c r="F73" s="31"/>
      <c r="G73" s="36"/>
      <c r="H73" s="36"/>
      <c r="I73" s="31"/>
      <c r="J73" s="31"/>
      <c r="K73" s="37"/>
      <c r="L73" s="38">
        <f t="shared" si="18"/>
        <v>0</v>
      </c>
      <c r="M73" s="39">
        <v>94</v>
      </c>
      <c r="N73" s="31"/>
      <c r="O73" s="31"/>
      <c r="P73" s="31"/>
      <c r="Q73" s="31"/>
      <c r="R73" s="31"/>
      <c r="S73" s="36"/>
      <c r="T73" s="38">
        <f t="shared" si="19"/>
        <v>23.5</v>
      </c>
      <c r="U73" s="26">
        <v>76</v>
      </c>
      <c r="V73" s="36"/>
      <c r="W73" s="45">
        <f t="shared" si="20"/>
        <v>53.199999999999996</v>
      </c>
      <c r="X73" s="37"/>
      <c r="Y73" s="52">
        <v>100</v>
      </c>
      <c r="Z73" s="52">
        <v>100</v>
      </c>
      <c r="AA73" s="45">
        <f t="shared" si="21"/>
        <v>65</v>
      </c>
      <c r="AB73" s="37"/>
      <c r="AC73" s="55">
        <v>90</v>
      </c>
      <c r="AD73" s="36"/>
      <c r="AE73" s="38">
        <f t="shared" si="22"/>
        <v>31.499999999999996</v>
      </c>
      <c r="AF73" s="37"/>
      <c r="AG73" s="31"/>
      <c r="AH73" s="36"/>
      <c r="AI73" s="38">
        <f t="shared" si="23"/>
        <v>0</v>
      </c>
      <c r="AJ73" s="30"/>
      <c r="AK73" s="37"/>
      <c r="AL73" s="36"/>
      <c r="AM73" s="38">
        <f t="shared" si="24"/>
        <v>0</v>
      </c>
      <c r="AN73" s="30"/>
      <c r="AO73" s="31"/>
      <c r="AP73" s="36"/>
      <c r="AQ73" s="46">
        <f t="shared" si="25"/>
        <v>0</v>
      </c>
      <c r="AR73" s="30"/>
      <c r="AS73" s="31"/>
      <c r="AT73" s="36"/>
      <c r="AU73" s="46">
        <f t="shared" si="26"/>
        <v>0</v>
      </c>
      <c r="AV73" s="37"/>
      <c r="AW73" s="46"/>
      <c r="AX73" s="30"/>
      <c r="AY73" s="31"/>
      <c r="AZ73" s="31"/>
    </row>
    <row r="74" spans="1:52" ht="14.4" thickBot="1" x14ac:dyDescent="0.3">
      <c r="A74" s="66">
        <v>214152860</v>
      </c>
      <c r="B74" s="25" t="s">
        <v>209</v>
      </c>
      <c r="C74" s="7" t="s">
        <v>205</v>
      </c>
      <c r="D74" s="30"/>
      <c r="E74" s="30"/>
      <c r="F74" s="31"/>
      <c r="G74" s="36"/>
      <c r="H74" s="36"/>
      <c r="I74" s="31"/>
      <c r="J74" s="31"/>
      <c r="K74" s="37"/>
      <c r="L74" s="38">
        <f t="shared" si="18"/>
        <v>0</v>
      </c>
      <c r="M74" s="39"/>
      <c r="N74" s="31"/>
      <c r="O74" s="31"/>
      <c r="P74" s="31"/>
      <c r="Q74" s="31"/>
      <c r="R74" s="31"/>
      <c r="S74" s="36"/>
      <c r="T74" s="38">
        <f t="shared" si="19"/>
        <v>0</v>
      </c>
      <c r="U74" s="26">
        <v>49</v>
      </c>
      <c r="V74" s="36">
        <v>80</v>
      </c>
      <c r="W74" s="45">
        <f t="shared" si="20"/>
        <v>58.3</v>
      </c>
      <c r="X74" s="37"/>
      <c r="Y74" s="43">
        <v>85</v>
      </c>
      <c r="Z74" s="52">
        <v>100</v>
      </c>
      <c r="AA74" s="45">
        <f t="shared" si="21"/>
        <v>59.75</v>
      </c>
      <c r="AB74" s="37"/>
      <c r="AC74" s="55">
        <v>66</v>
      </c>
      <c r="AD74" s="36"/>
      <c r="AE74" s="38">
        <f t="shared" si="22"/>
        <v>23.099999999999998</v>
      </c>
      <c r="AF74" s="37"/>
      <c r="AG74" s="31"/>
      <c r="AH74" s="36"/>
      <c r="AI74" s="38">
        <f t="shared" si="23"/>
        <v>0</v>
      </c>
      <c r="AJ74" s="30"/>
      <c r="AK74" s="37"/>
      <c r="AL74" s="36"/>
      <c r="AM74" s="38">
        <f t="shared" si="24"/>
        <v>0</v>
      </c>
      <c r="AN74" s="30"/>
      <c r="AO74" s="31"/>
      <c r="AP74" s="36"/>
      <c r="AQ74" s="46">
        <f t="shared" si="25"/>
        <v>0</v>
      </c>
      <c r="AR74" s="30"/>
      <c r="AS74" s="31"/>
      <c r="AT74" s="36"/>
      <c r="AU74" s="46">
        <f t="shared" si="26"/>
        <v>0</v>
      </c>
      <c r="AV74" s="37"/>
      <c r="AW74" s="46"/>
      <c r="AX74" s="30"/>
      <c r="AY74" s="31"/>
      <c r="AZ74" s="31"/>
    </row>
    <row r="75" spans="1:52" ht="14.4" thickBot="1" x14ac:dyDescent="0.3">
      <c r="A75" s="66">
        <v>342686854</v>
      </c>
      <c r="B75" s="25" t="s">
        <v>211</v>
      </c>
      <c r="C75" s="7" t="s">
        <v>205</v>
      </c>
      <c r="D75" s="30"/>
      <c r="E75" s="30"/>
      <c r="F75" s="31"/>
      <c r="G75" s="36"/>
      <c r="H75" s="36"/>
      <c r="I75" s="31"/>
      <c r="J75" s="31"/>
      <c r="K75" s="37"/>
      <c r="L75" s="38">
        <f t="shared" si="18"/>
        <v>0</v>
      </c>
      <c r="M75" s="39"/>
      <c r="N75" s="31"/>
      <c r="O75" s="31"/>
      <c r="P75" s="31"/>
      <c r="Q75" s="31"/>
      <c r="R75" s="31"/>
      <c r="S75" s="36"/>
      <c r="T75" s="38">
        <f t="shared" si="19"/>
        <v>0</v>
      </c>
      <c r="U75" s="26">
        <v>77</v>
      </c>
      <c r="V75" s="36">
        <v>88</v>
      </c>
      <c r="W75" s="45">
        <f t="shared" si="20"/>
        <v>80.3</v>
      </c>
      <c r="X75" s="37"/>
      <c r="Y75" s="48">
        <v>95</v>
      </c>
      <c r="Z75" s="52">
        <v>100</v>
      </c>
      <c r="AA75" s="45">
        <f t="shared" si="21"/>
        <v>63.25</v>
      </c>
      <c r="AB75" s="37"/>
      <c r="AC75" s="55">
        <v>67</v>
      </c>
      <c r="AD75" s="36"/>
      <c r="AE75" s="38">
        <f t="shared" si="22"/>
        <v>23.45</v>
      </c>
      <c r="AF75" s="37"/>
      <c r="AG75" s="31"/>
      <c r="AH75" s="36"/>
      <c r="AI75" s="38">
        <f t="shared" si="23"/>
        <v>0</v>
      </c>
      <c r="AJ75" s="30"/>
      <c r="AK75" s="37"/>
      <c r="AL75" s="36"/>
      <c r="AM75" s="38">
        <f t="shared" si="24"/>
        <v>0</v>
      </c>
      <c r="AN75" s="30"/>
      <c r="AO75" s="31"/>
      <c r="AP75" s="36"/>
      <c r="AQ75" s="46">
        <f t="shared" si="25"/>
        <v>0</v>
      </c>
      <c r="AR75" s="30"/>
      <c r="AS75" s="31"/>
      <c r="AT75" s="36"/>
      <c r="AU75" s="46">
        <f t="shared" si="26"/>
        <v>0</v>
      </c>
      <c r="AV75" s="37"/>
      <c r="AW75" s="46"/>
      <c r="AX75" s="30"/>
      <c r="AY75" s="31"/>
      <c r="AZ75" s="31"/>
    </row>
    <row r="76" spans="1:52" ht="14.4" thickBot="1" x14ac:dyDescent="0.3">
      <c r="A76" s="66">
        <v>213180631</v>
      </c>
      <c r="B76" s="25" t="s">
        <v>213</v>
      </c>
      <c r="C76" s="7" t="s">
        <v>205</v>
      </c>
      <c r="D76" s="30"/>
      <c r="E76" s="30"/>
      <c r="F76" s="31"/>
      <c r="G76" s="36"/>
      <c r="H76" s="36"/>
      <c r="I76" s="31"/>
      <c r="J76" s="31"/>
      <c r="K76" s="37"/>
      <c r="L76" s="38">
        <f t="shared" si="18"/>
        <v>0</v>
      </c>
      <c r="M76" s="39"/>
      <c r="N76" s="31"/>
      <c r="O76" s="31"/>
      <c r="P76" s="31"/>
      <c r="Q76" s="31"/>
      <c r="R76" s="31"/>
      <c r="S76" s="36"/>
      <c r="T76" s="38">
        <f t="shared" si="19"/>
        <v>0</v>
      </c>
      <c r="U76" s="26">
        <v>89</v>
      </c>
      <c r="V76" s="36">
        <v>81</v>
      </c>
      <c r="W76" s="45">
        <f t="shared" si="20"/>
        <v>86.6</v>
      </c>
      <c r="X76" s="37"/>
      <c r="Y76" s="48">
        <v>95</v>
      </c>
      <c r="Z76" s="52">
        <v>100</v>
      </c>
      <c r="AA76" s="45">
        <f t="shared" si="21"/>
        <v>63.25</v>
      </c>
      <c r="AB76" s="37"/>
      <c r="AC76" s="55">
        <v>79</v>
      </c>
      <c r="AD76" s="36"/>
      <c r="AE76" s="38">
        <f t="shared" si="22"/>
        <v>27.65</v>
      </c>
      <c r="AF76" s="37"/>
      <c r="AG76" s="31"/>
      <c r="AH76" s="36"/>
      <c r="AI76" s="38">
        <f t="shared" si="23"/>
        <v>0</v>
      </c>
      <c r="AJ76" s="30"/>
      <c r="AK76" s="37"/>
      <c r="AL76" s="36"/>
      <c r="AM76" s="38">
        <f t="shared" si="24"/>
        <v>0</v>
      </c>
      <c r="AN76" s="30"/>
      <c r="AO76" s="31"/>
      <c r="AP76" s="36"/>
      <c r="AQ76" s="46">
        <f t="shared" si="25"/>
        <v>0</v>
      </c>
      <c r="AR76" s="30"/>
      <c r="AS76" s="31"/>
      <c r="AT76" s="36"/>
      <c r="AU76" s="46">
        <f t="shared" si="26"/>
        <v>0</v>
      </c>
      <c r="AV76" s="37"/>
      <c r="AW76" s="46"/>
      <c r="AX76" s="30"/>
      <c r="AY76" s="31"/>
      <c r="AZ76" s="31"/>
    </row>
    <row r="77" spans="1:52" ht="14.4" thickBot="1" x14ac:dyDescent="0.3">
      <c r="A77" s="66">
        <v>213179260</v>
      </c>
      <c r="B77" s="25" t="s">
        <v>215</v>
      </c>
      <c r="C77" s="7" t="s">
        <v>205</v>
      </c>
      <c r="D77" s="30"/>
      <c r="E77" s="30"/>
      <c r="F77" s="31"/>
      <c r="G77" s="36"/>
      <c r="H77" s="36"/>
      <c r="I77" s="31"/>
      <c r="J77" s="31"/>
      <c r="K77" s="37"/>
      <c r="L77" s="38">
        <f t="shared" si="18"/>
        <v>0</v>
      </c>
      <c r="M77" s="39">
        <v>100</v>
      </c>
      <c r="N77" s="31"/>
      <c r="O77" s="31"/>
      <c r="P77" s="31"/>
      <c r="Q77" s="31"/>
      <c r="R77" s="31"/>
      <c r="S77" s="36"/>
      <c r="T77" s="38">
        <f t="shared" si="19"/>
        <v>25</v>
      </c>
      <c r="U77" s="26">
        <v>66</v>
      </c>
      <c r="V77" s="36">
        <v>50</v>
      </c>
      <c r="W77" s="45">
        <f t="shared" si="20"/>
        <v>61.199999999999996</v>
      </c>
      <c r="X77" s="37"/>
      <c r="Y77" s="61">
        <v>77</v>
      </c>
      <c r="Z77" s="52">
        <v>100</v>
      </c>
      <c r="AA77" s="45">
        <f t="shared" si="21"/>
        <v>56.95</v>
      </c>
      <c r="AB77" s="37"/>
      <c r="AC77" s="55">
        <v>60</v>
      </c>
      <c r="AD77" s="36"/>
      <c r="AE77" s="38">
        <f t="shared" si="22"/>
        <v>21</v>
      </c>
      <c r="AF77" s="37"/>
      <c r="AG77" s="31"/>
      <c r="AH77" s="36"/>
      <c r="AI77" s="38">
        <f t="shared" si="23"/>
        <v>0</v>
      </c>
      <c r="AJ77" s="30"/>
      <c r="AK77" s="37"/>
      <c r="AL77" s="36"/>
      <c r="AM77" s="38">
        <f t="shared" si="24"/>
        <v>0</v>
      </c>
      <c r="AN77" s="30"/>
      <c r="AO77" s="31"/>
      <c r="AP77" s="36"/>
      <c r="AQ77" s="46">
        <f t="shared" si="25"/>
        <v>0</v>
      </c>
      <c r="AR77" s="30"/>
      <c r="AS77" s="31"/>
      <c r="AT77" s="36"/>
      <c r="AU77" s="46">
        <f t="shared" si="26"/>
        <v>0</v>
      </c>
      <c r="AV77" s="37"/>
      <c r="AW77" s="46"/>
      <c r="AX77" s="30"/>
      <c r="AY77" s="31"/>
      <c r="AZ77" s="31"/>
    </row>
    <row r="78" spans="1:52" ht="14.4" thickBot="1" x14ac:dyDescent="0.3">
      <c r="A78" s="66">
        <v>213426901</v>
      </c>
      <c r="B78" s="25" t="s">
        <v>217</v>
      </c>
      <c r="C78" s="7" t="s">
        <v>205</v>
      </c>
      <c r="D78" s="30"/>
      <c r="E78" s="30"/>
      <c r="F78" s="31"/>
      <c r="G78" s="36"/>
      <c r="H78" s="36"/>
      <c r="I78" s="31"/>
      <c r="J78" s="31"/>
      <c r="K78" s="37"/>
      <c r="L78" s="38">
        <f t="shared" si="18"/>
        <v>0</v>
      </c>
      <c r="M78" s="39"/>
      <c r="N78" s="31"/>
      <c r="O78" s="31"/>
      <c r="P78" s="31"/>
      <c r="Q78" s="31"/>
      <c r="R78" s="31"/>
      <c r="S78" s="36"/>
      <c r="T78" s="38">
        <f t="shared" si="19"/>
        <v>0</v>
      </c>
      <c r="U78" s="26">
        <v>94</v>
      </c>
      <c r="V78" s="36">
        <v>97</v>
      </c>
      <c r="W78" s="45">
        <f t="shared" si="20"/>
        <v>94.899999999999991</v>
      </c>
      <c r="X78" s="37"/>
      <c r="Y78" s="65">
        <v>98</v>
      </c>
      <c r="Z78" s="52">
        <v>100</v>
      </c>
      <c r="AA78" s="45">
        <f t="shared" si="21"/>
        <v>64.3</v>
      </c>
      <c r="AB78" s="37"/>
      <c r="AC78" s="55">
        <v>76</v>
      </c>
      <c r="AD78" s="36"/>
      <c r="AE78" s="38">
        <f t="shared" si="22"/>
        <v>26.599999999999998</v>
      </c>
      <c r="AF78" s="37"/>
      <c r="AG78" s="31"/>
      <c r="AH78" s="36"/>
      <c r="AI78" s="38">
        <f t="shared" si="23"/>
        <v>0</v>
      </c>
      <c r="AJ78" s="30"/>
      <c r="AK78" s="37"/>
      <c r="AL78" s="36"/>
      <c r="AM78" s="38">
        <f t="shared" si="24"/>
        <v>0</v>
      </c>
      <c r="AN78" s="30"/>
      <c r="AO78" s="31"/>
      <c r="AP78" s="36"/>
      <c r="AQ78" s="46">
        <f t="shared" si="25"/>
        <v>0</v>
      </c>
      <c r="AR78" s="30"/>
      <c r="AS78" s="31"/>
      <c r="AT78" s="36"/>
      <c r="AU78" s="46">
        <f t="shared" si="26"/>
        <v>0</v>
      </c>
      <c r="AV78" s="37"/>
      <c r="AW78" s="46"/>
      <c r="AX78" s="30"/>
      <c r="AY78" s="31"/>
      <c r="AZ78" s="31"/>
    </row>
    <row r="79" spans="1:52" ht="14.4" thickBot="1" x14ac:dyDescent="0.3">
      <c r="A79" s="66">
        <v>214285140</v>
      </c>
      <c r="B79" s="25" t="s">
        <v>219</v>
      </c>
      <c r="C79" s="7" t="s">
        <v>205</v>
      </c>
      <c r="D79" s="30"/>
      <c r="E79" s="30"/>
      <c r="F79" s="31"/>
      <c r="G79" s="36"/>
      <c r="H79" s="36"/>
      <c r="I79" s="31"/>
      <c r="J79" s="31"/>
      <c r="K79" s="37"/>
      <c r="L79" s="38">
        <f t="shared" si="18"/>
        <v>0</v>
      </c>
      <c r="M79" s="39"/>
      <c r="N79" s="31"/>
      <c r="O79" s="31"/>
      <c r="P79" s="31"/>
      <c r="Q79" s="31"/>
      <c r="R79" s="31"/>
      <c r="S79" s="36"/>
      <c r="T79" s="38">
        <f t="shared" si="19"/>
        <v>0</v>
      </c>
      <c r="U79" s="26">
        <v>79</v>
      </c>
      <c r="V79" s="36">
        <v>84</v>
      </c>
      <c r="W79" s="45">
        <f t="shared" si="20"/>
        <v>80.5</v>
      </c>
      <c r="X79" s="37"/>
      <c r="Y79" s="50">
        <v>90</v>
      </c>
      <c r="Z79" s="52">
        <v>100</v>
      </c>
      <c r="AA79" s="45">
        <f t="shared" si="21"/>
        <v>61.5</v>
      </c>
      <c r="AB79" s="37"/>
      <c r="AC79" s="55">
        <v>77</v>
      </c>
      <c r="AD79" s="36"/>
      <c r="AE79" s="38">
        <f t="shared" si="22"/>
        <v>26.95</v>
      </c>
      <c r="AF79" s="37"/>
      <c r="AG79" s="31"/>
      <c r="AH79" s="36"/>
      <c r="AI79" s="38">
        <f t="shared" si="23"/>
        <v>0</v>
      </c>
      <c r="AJ79" s="30"/>
      <c r="AK79" s="37"/>
      <c r="AL79" s="36"/>
      <c r="AM79" s="38">
        <f t="shared" si="24"/>
        <v>0</v>
      </c>
      <c r="AN79" s="30"/>
      <c r="AO79" s="31"/>
      <c r="AP79" s="36"/>
      <c r="AQ79" s="46">
        <f t="shared" si="25"/>
        <v>0</v>
      </c>
      <c r="AR79" s="30"/>
      <c r="AS79" s="31"/>
      <c r="AT79" s="36"/>
      <c r="AU79" s="46">
        <f t="shared" si="26"/>
        <v>0</v>
      </c>
      <c r="AV79" s="37"/>
      <c r="AW79" s="46"/>
      <c r="AX79" s="30"/>
      <c r="AY79" s="31"/>
      <c r="AZ79" s="31"/>
    </row>
    <row r="80" spans="1:52" ht="14.4" thickBot="1" x14ac:dyDescent="0.3">
      <c r="A80" s="66">
        <v>213184617</v>
      </c>
      <c r="B80" s="25" t="s">
        <v>221</v>
      </c>
      <c r="C80" s="7" t="s">
        <v>205</v>
      </c>
      <c r="D80" s="30"/>
      <c r="E80" s="30"/>
      <c r="F80" s="31"/>
      <c r="G80" s="36"/>
      <c r="H80" s="36"/>
      <c r="I80" s="31"/>
      <c r="J80" s="31"/>
      <c r="K80" s="37"/>
      <c r="L80" s="38">
        <f t="shared" si="18"/>
        <v>0</v>
      </c>
      <c r="M80" s="39"/>
      <c r="N80" s="31"/>
      <c r="O80" s="31"/>
      <c r="P80" s="31"/>
      <c r="Q80" s="31"/>
      <c r="R80" s="31"/>
      <c r="S80" s="36"/>
      <c r="T80" s="38">
        <f t="shared" si="19"/>
        <v>0</v>
      </c>
      <c r="U80" s="26">
        <v>91</v>
      </c>
      <c r="V80" s="36">
        <v>90</v>
      </c>
      <c r="W80" s="45">
        <f t="shared" si="20"/>
        <v>90.699999999999989</v>
      </c>
      <c r="X80" s="37"/>
      <c r="Y80" s="52">
        <v>100</v>
      </c>
      <c r="Z80" s="52">
        <v>100</v>
      </c>
      <c r="AA80" s="45">
        <f t="shared" si="21"/>
        <v>65</v>
      </c>
      <c r="AB80" s="37"/>
      <c r="AC80" s="55">
        <v>85</v>
      </c>
      <c r="AD80" s="36"/>
      <c r="AE80" s="38">
        <f t="shared" si="22"/>
        <v>29.749999999999996</v>
      </c>
      <c r="AF80" s="37"/>
      <c r="AG80" s="31"/>
      <c r="AH80" s="36"/>
      <c r="AI80" s="38">
        <f t="shared" si="23"/>
        <v>0</v>
      </c>
      <c r="AJ80" s="30"/>
      <c r="AK80" s="37"/>
      <c r="AL80" s="36"/>
      <c r="AM80" s="38">
        <f t="shared" si="24"/>
        <v>0</v>
      </c>
      <c r="AN80" s="30"/>
      <c r="AO80" s="31"/>
      <c r="AP80" s="36"/>
      <c r="AQ80" s="46">
        <f t="shared" si="25"/>
        <v>0</v>
      </c>
      <c r="AR80" s="30"/>
      <c r="AS80" s="31"/>
      <c r="AT80" s="36"/>
      <c r="AU80" s="46">
        <f t="shared" si="26"/>
        <v>0</v>
      </c>
      <c r="AV80" s="37"/>
      <c r="AW80" s="46"/>
      <c r="AX80" s="30"/>
      <c r="AY80" s="31"/>
      <c r="AZ80" s="31"/>
    </row>
    <row r="81" spans="1:52" ht="14.4" thickBot="1" x14ac:dyDescent="0.3">
      <c r="A81" s="66">
        <v>333689735</v>
      </c>
      <c r="B81" s="25" t="s">
        <v>223</v>
      </c>
      <c r="C81" s="7" t="s">
        <v>205</v>
      </c>
      <c r="D81" s="30"/>
      <c r="E81" s="30"/>
      <c r="F81" s="31"/>
      <c r="G81" s="36"/>
      <c r="H81" s="36"/>
      <c r="I81" s="31"/>
      <c r="J81" s="31"/>
      <c r="K81" s="37"/>
      <c r="L81" s="38">
        <f t="shared" si="18"/>
        <v>0</v>
      </c>
      <c r="M81" s="39"/>
      <c r="N81" s="31"/>
      <c r="O81" s="31"/>
      <c r="P81" s="31"/>
      <c r="Q81" s="31"/>
      <c r="R81" s="31"/>
      <c r="S81" s="36"/>
      <c r="T81" s="38">
        <f t="shared" si="19"/>
        <v>0</v>
      </c>
      <c r="U81" s="26">
        <v>60</v>
      </c>
      <c r="V81" s="36">
        <v>69</v>
      </c>
      <c r="W81" s="45">
        <f t="shared" si="20"/>
        <v>62.7</v>
      </c>
      <c r="X81" s="37"/>
      <c r="Y81" s="53">
        <v>65</v>
      </c>
      <c r="Z81" s="50">
        <v>90</v>
      </c>
      <c r="AA81" s="45">
        <f t="shared" si="21"/>
        <v>49.75</v>
      </c>
      <c r="AB81" s="37"/>
      <c r="AC81" s="55">
        <v>39</v>
      </c>
      <c r="AD81" s="36"/>
      <c r="AE81" s="38">
        <f t="shared" si="22"/>
        <v>13.649999999999999</v>
      </c>
      <c r="AF81" s="37"/>
      <c r="AG81" s="31"/>
      <c r="AH81" s="36"/>
      <c r="AI81" s="38">
        <f t="shared" si="23"/>
        <v>0</v>
      </c>
      <c r="AJ81" s="30"/>
      <c r="AK81" s="37"/>
      <c r="AL81" s="36"/>
      <c r="AM81" s="38">
        <f t="shared" si="24"/>
        <v>0</v>
      </c>
      <c r="AN81" s="30"/>
      <c r="AO81" s="31"/>
      <c r="AP81" s="36"/>
      <c r="AQ81" s="46">
        <f t="shared" si="25"/>
        <v>0</v>
      </c>
      <c r="AR81" s="30"/>
      <c r="AS81" s="31"/>
      <c r="AT81" s="36"/>
      <c r="AU81" s="46">
        <f t="shared" si="26"/>
        <v>0</v>
      </c>
      <c r="AV81" s="37"/>
      <c r="AW81" s="46"/>
      <c r="AX81" s="30"/>
      <c r="AY81" s="31"/>
      <c r="AZ81" s="31"/>
    </row>
    <row r="82" spans="1:52" ht="14.4" thickBot="1" x14ac:dyDescent="0.3">
      <c r="A82" s="66">
        <v>213264625</v>
      </c>
      <c r="B82" s="25" t="s">
        <v>225</v>
      </c>
      <c r="C82" s="7" t="s">
        <v>205</v>
      </c>
      <c r="D82" s="30"/>
      <c r="E82" s="30"/>
      <c r="F82" s="31"/>
      <c r="G82" s="36"/>
      <c r="H82" s="36"/>
      <c r="I82" s="31"/>
      <c r="J82" s="31"/>
      <c r="K82" s="37"/>
      <c r="L82" s="38">
        <f t="shared" si="18"/>
        <v>0</v>
      </c>
      <c r="M82" s="39"/>
      <c r="N82" s="31"/>
      <c r="O82" s="31"/>
      <c r="P82" s="31"/>
      <c r="Q82" s="31"/>
      <c r="R82" s="31"/>
      <c r="S82" s="36"/>
      <c r="T82" s="38">
        <f t="shared" si="19"/>
        <v>0</v>
      </c>
      <c r="U82" s="26">
        <v>77</v>
      </c>
      <c r="V82" s="36">
        <v>92</v>
      </c>
      <c r="W82" s="45">
        <f t="shared" si="20"/>
        <v>81.5</v>
      </c>
      <c r="X82" s="37"/>
      <c r="Y82" s="48">
        <v>95</v>
      </c>
      <c r="Z82" s="52">
        <v>100</v>
      </c>
      <c r="AA82" s="45">
        <f t="shared" si="21"/>
        <v>63.25</v>
      </c>
      <c r="AB82" s="37"/>
      <c r="AC82" s="55">
        <v>82</v>
      </c>
      <c r="AD82" s="36"/>
      <c r="AE82" s="38">
        <f t="shared" si="22"/>
        <v>28.7</v>
      </c>
      <c r="AF82" s="37"/>
      <c r="AG82" s="31"/>
      <c r="AH82" s="36"/>
      <c r="AI82" s="38">
        <f t="shared" si="23"/>
        <v>0</v>
      </c>
      <c r="AJ82" s="30"/>
      <c r="AK82" s="37"/>
      <c r="AL82" s="36"/>
      <c r="AM82" s="38">
        <f t="shared" si="24"/>
        <v>0</v>
      </c>
      <c r="AN82" s="30"/>
      <c r="AO82" s="31"/>
      <c r="AP82" s="36"/>
      <c r="AQ82" s="46">
        <f t="shared" si="25"/>
        <v>0</v>
      </c>
      <c r="AR82" s="30"/>
      <c r="AS82" s="31"/>
      <c r="AT82" s="36"/>
      <c r="AU82" s="46">
        <f t="shared" si="26"/>
        <v>0</v>
      </c>
      <c r="AV82" s="37"/>
      <c r="AW82" s="46"/>
      <c r="AX82" s="30"/>
      <c r="AY82" s="31"/>
      <c r="AZ82" s="31"/>
    </row>
    <row r="83" spans="1:52" ht="14.4" thickBot="1" x14ac:dyDescent="0.3">
      <c r="A83" s="66">
        <v>345271878</v>
      </c>
      <c r="B83" s="25" t="s">
        <v>226</v>
      </c>
      <c r="C83" s="7" t="s">
        <v>205</v>
      </c>
      <c r="D83" s="30"/>
      <c r="E83" s="30"/>
      <c r="F83" s="31"/>
      <c r="G83" s="36"/>
      <c r="H83" s="36"/>
      <c r="I83" s="31"/>
      <c r="J83" s="31"/>
      <c r="K83" s="37"/>
      <c r="L83" s="38">
        <f t="shared" si="18"/>
        <v>0</v>
      </c>
      <c r="M83" s="39"/>
      <c r="N83" s="31"/>
      <c r="O83" s="31"/>
      <c r="P83" s="31"/>
      <c r="Q83" s="31"/>
      <c r="R83" s="31"/>
      <c r="S83" s="36"/>
      <c r="T83" s="38">
        <f t="shared" si="19"/>
        <v>0</v>
      </c>
      <c r="U83" s="26">
        <v>0</v>
      </c>
      <c r="V83" s="36"/>
      <c r="W83" s="45">
        <f t="shared" si="20"/>
        <v>0</v>
      </c>
      <c r="X83" s="37"/>
      <c r="Y83" s="24"/>
      <c r="Z83" s="24"/>
      <c r="AA83" s="45">
        <f t="shared" si="21"/>
        <v>0</v>
      </c>
      <c r="AB83" s="37"/>
      <c r="AC83" s="56"/>
      <c r="AD83" s="36"/>
      <c r="AE83" s="38">
        <f t="shared" si="22"/>
        <v>0</v>
      </c>
      <c r="AF83" s="37"/>
      <c r="AG83" s="31"/>
      <c r="AH83" s="36"/>
      <c r="AI83" s="38">
        <f t="shared" si="23"/>
        <v>0</v>
      </c>
      <c r="AJ83" s="30"/>
      <c r="AK83" s="37"/>
      <c r="AL83" s="36"/>
      <c r="AM83" s="38">
        <f t="shared" si="24"/>
        <v>0</v>
      </c>
      <c r="AN83" s="30"/>
      <c r="AO83" s="31"/>
      <c r="AP83" s="36"/>
      <c r="AQ83" s="46">
        <f t="shared" si="25"/>
        <v>0</v>
      </c>
      <c r="AR83" s="30"/>
      <c r="AS83" s="31"/>
      <c r="AT83" s="36"/>
      <c r="AU83" s="46">
        <f t="shared" si="26"/>
        <v>0</v>
      </c>
      <c r="AV83" s="37"/>
      <c r="AW83" s="46"/>
      <c r="AX83" s="30"/>
      <c r="AY83" s="31"/>
      <c r="AZ83" s="31"/>
    </row>
    <row r="84" spans="1:52" ht="14.4" thickBot="1" x14ac:dyDescent="0.3">
      <c r="A84" s="66">
        <v>342732914</v>
      </c>
      <c r="B84" s="25" t="s">
        <v>228</v>
      </c>
      <c r="C84" s="7" t="s">
        <v>205</v>
      </c>
      <c r="D84" s="30"/>
      <c r="E84" s="30"/>
      <c r="F84" s="31"/>
      <c r="G84" s="36"/>
      <c r="H84" s="36"/>
      <c r="I84" s="31"/>
      <c r="J84" s="31"/>
      <c r="K84" s="37"/>
      <c r="L84" s="38">
        <f t="shared" si="18"/>
        <v>0</v>
      </c>
      <c r="M84" s="39"/>
      <c r="N84" s="31"/>
      <c r="O84" s="31"/>
      <c r="P84" s="31"/>
      <c r="Q84" s="31"/>
      <c r="R84" s="31"/>
      <c r="S84" s="36"/>
      <c r="T84" s="38">
        <f t="shared" si="19"/>
        <v>0</v>
      </c>
      <c r="U84" s="26">
        <v>58</v>
      </c>
      <c r="V84" s="36">
        <v>88</v>
      </c>
      <c r="W84" s="45">
        <f t="shared" si="20"/>
        <v>67</v>
      </c>
      <c r="X84" s="37"/>
      <c r="Y84" s="47">
        <v>70</v>
      </c>
      <c r="Z84" s="52">
        <v>100</v>
      </c>
      <c r="AA84" s="45">
        <f t="shared" si="21"/>
        <v>54.5</v>
      </c>
      <c r="AB84" s="37"/>
      <c r="AC84" s="55">
        <v>42</v>
      </c>
      <c r="AD84" s="36"/>
      <c r="AE84" s="38">
        <f t="shared" si="22"/>
        <v>14.7</v>
      </c>
      <c r="AF84" s="37"/>
      <c r="AG84" s="31"/>
      <c r="AH84" s="36"/>
      <c r="AI84" s="38">
        <f t="shared" si="23"/>
        <v>0</v>
      </c>
      <c r="AJ84" s="30"/>
      <c r="AK84" s="37"/>
      <c r="AL84" s="36"/>
      <c r="AM84" s="38">
        <f t="shared" si="24"/>
        <v>0</v>
      </c>
      <c r="AN84" s="30"/>
      <c r="AO84" s="31"/>
      <c r="AP84" s="36"/>
      <c r="AQ84" s="46">
        <f t="shared" si="25"/>
        <v>0</v>
      </c>
      <c r="AR84" s="30"/>
      <c r="AS84" s="31"/>
      <c r="AT84" s="36"/>
      <c r="AU84" s="46">
        <f t="shared" si="26"/>
        <v>0</v>
      </c>
      <c r="AV84" s="37"/>
      <c r="AW84" s="46"/>
      <c r="AX84" s="30"/>
      <c r="AY84" s="31"/>
      <c r="AZ84" s="31"/>
    </row>
    <row r="85" spans="1:52" ht="14.4" thickBot="1" x14ac:dyDescent="0.3">
      <c r="A85" s="66">
        <v>333615045</v>
      </c>
      <c r="B85" s="25" t="s">
        <v>230</v>
      </c>
      <c r="C85" s="7" t="s">
        <v>205</v>
      </c>
      <c r="D85" s="30"/>
      <c r="E85" s="30"/>
      <c r="F85" s="31"/>
      <c r="G85" s="36"/>
      <c r="H85" s="36"/>
      <c r="I85" s="31"/>
      <c r="J85" s="31"/>
      <c r="K85" s="37"/>
      <c r="L85" s="38">
        <f t="shared" si="18"/>
        <v>0</v>
      </c>
      <c r="M85" s="39"/>
      <c r="N85" s="31"/>
      <c r="O85" s="31"/>
      <c r="P85" s="31"/>
      <c r="Q85" s="31"/>
      <c r="R85" s="31"/>
      <c r="S85" s="36"/>
      <c r="T85" s="38">
        <f t="shared" si="19"/>
        <v>0</v>
      </c>
      <c r="U85" s="26">
        <v>78</v>
      </c>
      <c r="V85" s="36">
        <v>92</v>
      </c>
      <c r="W85" s="45">
        <f t="shared" si="20"/>
        <v>82.199999999999989</v>
      </c>
      <c r="X85" s="37"/>
      <c r="Y85" s="50">
        <v>90</v>
      </c>
      <c r="Z85" s="52">
        <v>100</v>
      </c>
      <c r="AA85" s="45">
        <f t="shared" si="21"/>
        <v>61.5</v>
      </c>
      <c r="AB85" s="37"/>
      <c r="AC85" s="55">
        <v>66</v>
      </c>
      <c r="AD85" s="36"/>
      <c r="AE85" s="38">
        <f t="shared" si="22"/>
        <v>23.099999999999998</v>
      </c>
      <c r="AF85" s="37"/>
      <c r="AG85" s="31"/>
      <c r="AH85" s="36"/>
      <c r="AI85" s="38">
        <f t="shared" si="23"/>
        <v>0</v>
      </c>
      <c r="AJ85" s="30"/>
      <c r="AK85" s="37"/>
      <c r="AL85" s="36"/>
      <c r="AM85" s="38">
        <f t="shared" si="24"/>
        <v>0</v>
      </c>
      <c r="AN85" s="30"/>
      <c r="AO85" s="31"/>
      <c r="AP85" s="36"/>
      <c r="AQ85" s="46">
        <f t="shared" si="25"/>
        <v>0</v>
      </c>
      <c r="AR85" s="30"/>
      <c r="AS85" s="31"/>
      <c r="AT85" s="36"/>
      <c r="AU85" s="46">
        <f t="shared" si="26"/>
        <v>0</v>
      </c>
      <c r="AV85" s="37"/>
      <c r="AW85" s="46"/>
      <c r="AX85" s="30"/>
      <c r="AY85" s="31"/>
      <c r="AZ85" s="31"/>
    </row>
    <row r="86" spans="1:52" ht="14.4" thickBot="1" x14ac:dyDescent="0.3">
      <c r="A86" s="66">
        <v>346241318</v>
      </c>
      <c r="B86" s="25" t="s">
        <v>232</v>
      </c>
      <c r="C86" s="7" t="s">
        <v>205</v>
      </c>
      <c r="D86" s="30"/>
      <c r="E86" s="30"/>
      <c r="F86" s="31"/>
      <c r="G86" s="36"/>
      <c r="H86" s="36"/>
      <c r="I86" s="31"/>
      <c r="J86" s="31"/>
      <c r="K86" s="37"/>
      <c r="L86" s="38">
        <f t="shared" si="18"/>
        <v>0</v>
      </c>
      <c r="M86" s="39">
        <v>100</v>
      </c>
      <c r="N86" s="31"/>
      <c r="O86" s="31"/>
      <c r="P86" s="31"/>
      <c r="Q86" s="31"/>
      <c r="R86" s="31"/>
      <c r="S86" s="36"/>
      <c r="T86" s="38">
        <f t="shared" si="19"/>
        <v>25</v>
      </c>
      <c r="U86" s="26">
        <v>51</v>
      </c>
      <c r="V86" s="36">
        <v>57</v>
      </c>
      <c r="W86" s="45">
        <f t="shared" si="20"/>
        <v>52.8</v>
      </c>
      <c r="X86" s="37"/>
      <c r="Y86" s="47">
        <v>70</v>
      </c>
      <c r="Z86" s="48">
        <v>95</v>
      </c>
      <c r="AA86" s="45">
        <f t="shared" si="21"/>
        <v>53</v>
      </c>
      <c r="AB86" s="37"/>
      <c r="AC86" s="55">
        <v>37</v>
      </c>
      <c r="AD86" s="36"/>
      <c r="AE86" s="38">
        <f t="shared" si="22"/>
        <v>12.95</v>
      </c>
      <c r="AF86" s="37"/>
      <c r="AG86" s="31"/>
      <c r="AH86" s="36"/>
      <c r="AI86" s="38">
        <f t="shared" si="23"/>
        <v>0</v>
      </c>
      <c r="AJ86" s="30"/>
      <c r="AK86" s="37"/>
      <c r="AL86" s="36"/>
      <c r="AM86" s="38">
        <f t="shared" si="24"/>
        <v>0</v>
      </c>
      <c r="AN86" s="30"/>
      <c r="AO86" s="31"/>
      <c r="AP86" s="36"/>
      <c r="AQ86" s="46">
        <f t="shared" si="25"/>
        <v>0</v>
      </c>
      <c r="AR86" s="30"/>
      <c r="AS86" s="31"/>
      <c r="AT86" s="36"/>
      <c r="AU86" s="46">
        <f t="shared" si="26"/>
        <v>0</v>
      </c>
      <c r="AV86" s="37"/>
      <c r="AW86" s="46"/>
      <c r="AX86" s="30"/>
      <c r="AY86" s="31"/>
      <c r="AZ86" s="31"/>
    </row>
    <row r="87" spans="1:52" ht="14.4" thickBot="1" x14ac:dyDescent="0.3">
      <c r="A87" s="66">
        <v>346311665</v>
      </c>
      <c r="B87" s="25" t="s">
        <v>234</v>
      </c>
      <c r="C87" s="7" t="s">
        <v>205</v>
      </c>
      <c r="D87" s="30"/>
      <c r="E87" s="30"/>
      <c r="F87" s="31"/>
      <c r="G87" s="36"/>
      <c r="H87" s="36"/>
      <c r="I87" s="31"/>
      <c r="J87" s="31"/>
      <c r="K87" s="37"/>
      <c r="L87" s="38">
        <f t="shared" si="18"/>
        <v>0</v>
      </c>
      <c r="M87" s="39"/>
      <c r="N87" s="31"/>
      <c r="O87" s="31"/>
      <c r="P87" s="31"/>
      <c r="Q87" s="31"/>
      <c r="R87" s="31"/>
      <c r="S87" s="36"/>
      <c r="T87" s="38">
        <f t="shared" si="19"/>
        <v>0</v>
      </c>
      <c r="U87" s="26">
        <v>78</v>
      </c>
      <c r="V87" s="36"/>
      <c r="W87" s="45">
        <f t="shared" si="20"/>
        <v>54.599999999999994</v>
      </c>
      <c r="X87" s="37"/>
      <c r="Y87" s="54">
        <v>60</v>
      </c>
      <c r="Z87" s="50">
        <v>90</v>
      </c>
      <c r="AA87" s="45">
        <f t="shared" si="21"/>
        <v>48</v>
      </c>
      <c r="AB87" s="37"/>
      <c r="AC87" s="55">
        <v>50</v>
      </c>
      <c r="AD87" s="36"/>
      <c r="AE87" s="38">
        <f t="shared" si="22"/>
        <v>17.5</v>
      </c>
      <c r="AF87" s="37"/>
      <c r="AG87" s="31"/>
      <c r="AH87" s="36"/>
      <c r="AI87" s="38">
        <f t="shared" si="23"/>
        <v>0</v>
      </c>
      <c r="AJ87" s="30"/>
      <c r="AK87" s="37"/>
      <c r="AL87" s="36"/>
      <c r="AM87" s="38">
        <f t="shared" si="24"/>
        <v>0</v>
      </c>
      <c r="AN87" s="30"/>
      <c r="AO87" s="31"/>
      <c r="AP87" s="36"/>
      <c r="AQ87" s="46">
        <f t="shared" si="25"/>
        <v>0</v>
      </c>
      <c r="AR87" s="30"/>
      <c r="AS87" s="31"/>
      <c r="AT87" s="36"/>
      <c r="AU87" s="46">
        <f t="shared" si="26"/>
        <v>0</v>
      </c>
      <c r="AV87" s="37"/>
      <c r="AW87" s="46"/>
      <c r="AX87" s="30"/>
      <c r="AY87" s="31"/>
      <c r="AZ87" s="31"/>
    </row>
    <row r="88" spans="1:52" ht="14.4" thickBot="1" x14ac:dyDescent="0.3">
      <c r="A88" s="66">
        <v>213233216</v>
      </c>
      <c r="B88" s="25" t="s">
        <v>236</v>
      </c>
      <c r="C88" s="7" t="s">
        <v>205</v>
      </c>
      <c r="D88" s="30"/>
      <c r="E88" s="30"/>
      <c r="F88" s="31"/>
      <c r="G88" s="36"/>
      <c r="H88" s="36"/>
      <c r="I88" s="31"/>
      <c r="J88" s="31"/>
      <c r="K88" s="37"/>
      <c r="L88" s="38">
        <f t="shared" si="18"/>
        <v>0</v>
      </c>
      <c r="M88" s="39">
        <v>100</v>
      </c>
      <c r="N88" s="31"/>
      <c r="O88" s="31"/>
      <c r="P88" s="31"/>
      <c r="Q88" s="31"/>
      <c r="R88" s="31"/>
      <c r="S88" s="36"/>
      <c r="T88" s="38">
        <f t="shared" si="19"/>
        <v>25</v>
      </c>
      <c r="U88" s="26">
        <v>72</v>
      </c>
      <c r="V88" s="36">
        <v>87</v>
      </c>
      <c r="W88" s="45">
        <f t="shared" si="20"/>
        <v>76.5</v>
      </c>
      <c r="X88" s="37"/>
      <c r="Y88" s="50">
        <v>90</v>
      </c>
      <c r="Z88" s="52">
        <v>100</v>
      </c>
      <c r="AA88" s="45">
        <f t="shared" si="21"/>
        <v>61.5</v>
      </c>
      <c r="AB88" s="37"/>
      <c r="AC88" s="55">
        <v>62</v>
      </c>
      <c r="AD88" s="36"/>
      <c r="AE88" s="38">
        <f t="shared" si="22"/>
        <v>21.7</v>
      </c>
      <c r="AF88" s="37"/>
      <c r="AG88" s="31"/>
      <c r="AH88" s="36"/>
      <c r="AI88" s="38">
        <f t="shared" si="23"/>
        <v>0</v>
      </c>
      <c r="AJ88" s="30"/>
      <c r="AK88" s="37"/>
      <c r="AL88" s="36"/>
      <c r="AM88" s="38">
        <f t="shared" si="24"/>
        <v>0</v>
      </c>
      <c r="AN88" s="30"/>
      <c r="AO88" s="31"/>
      <c r="AP88" s="36"/>
      <c r="AQ88" s="46">
        <f t="shared" si="25"/>
        <v>0</v>
      </c>
      <c r="AR88" s="30"/>
      <c r="AS88" s="31"/>
      <c r="AT88" s="36"/>
      <c r="AU88" s="46">
        <f t="shared" si="26"/>
        <v>0</v>
      </c>
      <c r="AV88" s="37"/>
      <c r="AW88" s="46"/>
      <c r="AX88" s="30"/>
      <c r="AY88" s="31"/>
      <c r="AZ88" s="31"/>
    </row>
    <row r="89" spans="1:52" ht="14.4" thickBot="1" x14ac:dyDescent="0.3">
      <c r="A89" s="66">
        <v>213182744</v>
      </c>
      <c r="B89" s="25" t="s">
        <v>238</v>
      </c>
      <c r="C89" s="7" t="s">
        <v>205</v>
      </c>
      <c r="D89" s="30"/>
      <c r="E89" s="30"/>
      <c r="F89" s="31"/>
      <c r="G89" s="36"/>
      <c r="H89" s="36"/>
      <c r="I89" s="31"/>
      <c r="J89" s="31"/>
      <c r="K89" s="37"/>
      <c r="L89" s="38">
        <f t="shared" si="18"/>
        <v>0</v>
      </c>
      <c r="M89" s="39"/>
      <c r="N89" s="31"/>
      <c r="O89" s="31"/>
      <c r="P89" s="31"/>
      <c r="Q89" s="31"/>
      <c r="R89" s="31"/>
      <c r="S89" s="36"/>
      <c r="T89" s="38">
        <f t="shared" si="19"/>
        <v>0</v>
      </c>
      <c r="U89" s="26">
        <v>78</v>
      </c>
      <c r="V89" s="36">
        <v>76</v>
      </c>
      <c r="W89" s="45">
        <f t="shared" si="20"/>
        <v>77.399999999999991</v>
      </c>
      <c r="X89" s="37"/>
      <c r="Y89" s="48">
        <v>95</v>
      </c>
      <c r="Z89" s="52">
        <v>100</v>
      </c>
      <c r="AA89" s="45">
        <f t="shared" si="21"/>
        <v>63.25</v>
      </c>
      <c r="AB89" s="37"/>
      <c r="AC89" s="55">
        <v>86</v>
      </c>
      <c r="AD89" s="36"/>
      <c r="AE89" s="38">
        <f t="shared" si="22"/>
        <v>30.099999999999998</v>
      </c>
      <c r="AF89" s="37"/>
      <c r="AG89" s="31"/>
      <c r="AH89" s="36"/>
      <c r="AI89" s="38">
        <f t="shared" si="23"/>
        <v>0</v>
      </c>
      <c r="AJ89" s="30"/>
      <c r="AK89" s="37"/>
      <c r="AL89" s="36"/>
      <c r="AM89" s="38">
        <f t="shared" si="24"/>
        <v>0</v>
      </c>
      <c r="AN89" s="30"/>
      <c r="AO89" s="31"/>
      <c r="AP89" s="36"/>
      <c r="AQ89" s="46">
        <f t="shared" si="25"/>
        <v>0</v>
      </c>
      <c r="AR89" s="30"/>
      <c r="AS89" s="31"/>
      <c r="AT89" s="36"/>
      <c r="AU89" s="46">
        <f t="shared" si="26"/>
        <v>0</v>
      </c>
      <c r="AV89" s="37"/>
      <c r="AW89" s="46"/>
      <c r="AX89" s="30"/>
      <c r="AY89" s="31"/>
      <c r="AZ89" s="31"/>
    </row>
  </sheetData>
  <mergeCells count="9">
    <mergeCell ref="D1:L1"/>
    <mergeCell ref="A1:C1"/>
    <mergeCell ref="AN1:AR1"/>
    <mergeCell ref="M1:T1"/>
    <mergeCell ref="U1:W1"/>
    <mergeCell ref="X1:AA1"/>
    <mergeCell ref="AB1:AE1"/>
    <mergeCell ref="AF1:AI1"/>
    <mergeCell ref="AJ1:AM1"/>
  </mergeCells>
  <phoneticPr fontId="10" type="noConversion"/>
  <conditionalFormatting sqref="D3:AZ89">
    <cfRule type="cellIs" dxfId="1" priority="1" operator="greaterThanOrEqual">
      <formula>55</formula>
    </cfRule>
    <cfRule type="cellIs" dxfId="0" priority="2" operator="lessThan">
      <formula>55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"/>
  <sheetViews>
    <sheetView rightToLeft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3" customWidth="1"/>
    <col min="2" max="2" width="26" customWidth="1"/>
    <col min="3" max="3" width="7" customWidth="1"/>
    <col min="4" max="12" width="11" customWidth="1"/>
  </cols>
  <sheetData>
    <row r="1" spans="1:12" ht="34.950000000000003" customHeight="1" x14ac:dyDescent="0.25">
      <c r="A1" s="5" t="s">
        <v>60</v>
      </c>
      <c r="B1" s="5" t="s">
        <v>61</v>
      </c>
      <c r="C1" s="5" t="s">
        <v>62</v>
      </c>
      <c r="D1" s="5" t="s">
        <v>243</v>
      </c>
      <c r="E1" s="5" t="s">
        <v>245</v>
      </c>
      <c r="F1" s="5" t="s">
        <v>242</v>
      </c>
      <c r="G1" s="5" t="s">
        <v>14</v>
      </c>
      <c r="H1" s="5" t="s">
        <v>240</v>
      </c>
      <c r="I1" s="5" t="s">
        <v>278</v>
      </c>
      <c r="J1" s="5" t="s">
        <v>244</v>
      </c>
      <c r="K1" s="5" t="s">
        <v>279</v>
      </c>
      <c r="L1" s="5" t="s">
        <v>280</v>
      </c>
    </row>
    <row r="2" spans="1:12" x14ac:dyDescent="0.25">
      <c r="A2" s="7" t="s">
        <v>70</v>
      </c>
      <c r="B2" s="7" t="s">
        <v>71</v>
      </c>
      <c r="C2" s="7" t="s">
        <v>72</v>
      </c>
      <c r="D2" s="4"/>
      <c r="E2" s="4"/>
      <c r="F2" s="4"/>
      <c r="G2" s="4">
        <v>58</v>
      </c>
      <c r="H2" s="4">
        <v>59</v>
      </c>
      <c r="I2" s="4">
        <v>26</v>
      </c>
      <c r="J2" s="4"/>
      <c r="K2" s="4"/>
      <c r="L2" s="11"/>
    </row>
    <row r="3" spans="1:12" x14ac:dyDescent="0.25">
      <c r="A3" s="7" t="s">
        <v>74</v>
      </c>
      <c r="B3" s="7" t="s">
        <v>75</v>
      </c>
      <c r="C3" s="7" t="s">
        <v>72</v>
      </c>
      <c r="D3" s="4"/>
      <c r="E3" s="4">
        <v>72</v>
      </c>
      <c r="F3" s="4">
        <v>50</v>
      </c>
      <c r="G3" s="4">
        <v>61</v>
      </c>
      <c r="H3" s="4">
        <v>97</v>
      </c>
      <c r="I3" s="4">
        <v>39</v>
      </c>
      <c r="J3" s="4">
        <v>72</v>
      </c>
      <c r="K3" s="4">
        <v>80</v>
      </c>
      <c r="L3" s="11"/>
    </row>
    <row r="4" spans="1:12" x14ac:dyDescent="0.25">
      <c r="A4" s="7" t="s">
        <v>76</v>
      </c>
      <c r="B4" s="7" t="s">
        <v>77</v>
      </c>
      <c r="C4" s="7" t="s">
        <v>72</v>
      </c>
      <c r="D4" s="4"/>
      <c r="E4" s="4">
        <v>50</v>
      </c>
      <c r="F4" s="4"/>
      <c r="G4" s="4">
        <v>61</v>
      </c>
      <c r="H4" s="4">
        <v>67</v>
      </c>
      <c r="I4" s="4">
        <v>48</v>
      </c>
      <c r="J4" s="4"/>
      <c r="K4" s="4">
        <v>55</v>
      </c>
      <c r="L4" s="11"/>
    </row>
    <row r="5" spans="1:12" x14ac:dyDescent="0.25">
      <c r="A5" s="7" t="s">
        <v>78</v>
      </c>
      <c r="B5" s="7" t="s">
        <v>79</v>
      </c>
      <c r="C5" s="7" t="s">
        <v>72</v>
      </c>
      <c r="D5" s="4"/>
      <c r="E5" s="4"/>
      <c r="F5" s="4"/>
      <c r="G5" s="4">
        <v>50</v>
      </c>
      <c r="H5" s="4">
        <v>71</v>
      </c>
      <c r="I5" s="4">
        <v>51</v>
      </c>
      <c r="J5" s="4">
        <v>50</v>
      </c>
      <c r="K5" s="4"/>
      <c r="L5" s="11"/>
    </row>
    <row r="6" spans="1:12" x14ac:dyDescent="0.25">
      <c r="A6" s="7" t="s">
        <v>80</v>
      </c>
      <c r="B6" s="7" t="s">
        <v>81</v>
      </c>
      <c r="C6" s="7" t="s">
        <v>72</v>
      </c>
      <c r="D6" s="4"/>
      <c r="E6" s="4">
        <v>92</v>
      </c>
      <c r="F6" s="4">
        <v>80</v>
      </c>
      <c r="G6" s="4">
        <v>60</v>
      </c>
      <c r="H6" s="4">
        <v>64</v>
      </c>
      <c r="I6" s="4">
        <v>14</v>
      </c>
      <c r="J6" s="4"/>
      <c r="K6" s="4">
        <v>75</v>
      </c>
      <c r="L6" s="11"/>
    </row>
    <row r="7" spans="1:12" x14ac:dyDescent="0.25">
      <c r="A7" s="7" t="s">
        <v>82</v>
      </c>
      <c r="B7" s="7" t="s">
        <v>83</v>
      </c>
      <c r="C7" s="7" t="s">
        <v>72</v>
      </c>
      <c r="D7" s="4">
        <v>86</v>
      </c>
      <c r="E7" s="4">
        <v>72</v>
      </c>
      <c r="F7" s="4">
        <v>90</v>
      </c>
      <c r="G7" s="4">
        <v>60</v>
      </c>
      <c r="H7" s="4">
        <v>77</v>
      </c>
      <c r="I7" s="4">
        <v>41</v>
      </c>
      <c r="J7" s="4">
        <v>48</v>
      </c>
      <c r="K7" s="4">
        <v>55</v>
      </c>
      <c r="L7" s="11"/>
    </row>
    <row r="8" spans="1:12" x14ac:dyDescent="0.25">
      <c r="A8" s="7" t="s">
        <v>84</v>
      </c>
      <c r="B8" s="7" t="s">
        <v>85</v>
      </c>
      <c r="C8" s="7" t="s">
        <v>72</v>
      </c>
      <c r="D8" s="4"/>
      <c r="E8" s="4">
        <v>67</v>
      </c>
      <c r="F8" s="4">
        <v>70</v>
      </c>
      <c r="G8" s="4">
        <v>58</v>
      </c>
      <c r="H8" s="4">
        <v>97</v>
      </c>
      <c r="I8" s="4">
        <v>43</v>
      </c>
      <c r="J8" s="4">
        <v>60</v>
      </c>
      <c r="K8" s="4">
        <v>60</v>
      </c>
      <c r="L8" s="11"/>
    </row>
    <row r="9" spans="1:12" x14ac:dyDescent="0.25">
      <c r="A9" s="7"/>
      <c r="B9" s="7" t="s">
        <v>86</v>
      </c>
      <c r="C9" s="7" t="s">
        <v>72</v>
      </c>
      <c r="D9" s="8"/>
      <c r="E9" s="8"/>
      <c r="F9" s="8"/>
      <c r="G9" s="8"/>
      <c r="H9" s="8">
        <v>50</v>
      </c>
      <c r="I9" s="8">
        <v>63</v>
      </c>
      <c r="J9" s="8"/>
      <c r="K9" s="8"/>
      <c r="L9" s="11"/>
    </row>
    <row r="10" spans="1:12" x14ac:dyDescent="0.25">
      <c r="A10" s="7" t="s">
        <v>88</v>
      </c>
      <c r="B10" s="7" t="s">
        <v>89</v>
      </c>
      <c r="C10" s="7" t="s">
        <v>72</v>
      </c>
      <c r="D10" s="4">
        <v>93</v>
      </c>
      <c r="E10" s="4">
        <v>84</v>
      </c>
      <c r="F10" s="4">
        <v>90</v>
      </c>
      <c r="G10" s="4">
        <v>73</v>
      </c>
      <c r="H10" s="4">
        <v>96</v>
      </c>
      <c r="I10" s="4">
        <v>17</v>
      </c>
      <c r="J10" s="4">
        <v>76</v>
      </c>
      <c r="K10" s="4">
        <v>94</v>
      </c>
      <c r="L10" s="11"/>
    </row>
    <row r="11" spans="1:12" x14ac:dyDescent="0.25">
      <c r="A11" s="7" t="s">
        <v>90</v>
      </c>
      <c r="B11" s="7" t="s">
        <v>91</v>
      </c>
      <c r="C11" s="7" t="s">
        <v>72</v>
      </c>
      <c r="D11" s="4">
        <v>90</v>
      </c>
      <c r="E11" s="4">
        <v>50</v>
      </c>
      <c r="F11" s="4">
        <v>75</v>
      </c>
      <c r="G11" s="4">
        <v>62</v>
      </c>
      <c r="H11" s="4">
        <v>95</v>
      </c>
      <c r="I11" s="4">
        <v>41</v>
      </c>
      <c r="J11" s="4">
        <v>76</v>
      </c>
      <c r="K11" s="4">
        <v>70</v>
      </c>
      <c r="L11" s="11"/>
    </row>
    <row r="12" spans="1:12" x14ac:dyDescent="0.25">
      <c r="A12" s="7" t="s">
        <v>92</v>
      </c>
      <c r="B12" s="7" t="s">
        <v>93</v>
      </c>
      <c r="C12" s="7" t="s">
        <v>72</v>
      </c>
      <c r="D12" s="4">
        <v>87</v>
      </c>
      <c r="E12" s="4">
        <v>88</v>
      </c>
      <c r="F12" s="4">
        <v>95</v>
      </c>
      <c r="G12" s="4">
        <v>60</v>
      </c>
      <c r="H12" s="4">
        <v>86</v>
      </c>
      <c r="I12" s="4">
        <v>12</v>
      </c>
      <c r="J12" s="4">
        <v>70</v>
      </c>
      <c r="K12" s="4">
        <v>100</v>
      </c>
      <c r="L12" s="11"/>
    </row>
    <row r="13" spans="1:12" x14ac:dyDescent="0.25">
      <c r="A13" s="7" t="s">
        <v>94</v>
      </c>
      <c r="B13" s="7" t="s">
        <v>95</v>
      </c>
      <c r="C13" s="7" t="s">
        <v>72</v>
      </c>
      <c r="D13" s="4"/>
      <c r="E13" s="4">
        <v>55</v>
      </c>
      <c r="F13" s="4">
        <v>80</v>
      </c>
      <c r="G13" s="4">
        <v>50</v>
      </c>
      <c r="H13" s="4">
        <v>52</v>
      </c>
      <c r="I13" s="4">
        <v>51</v>
      </c>
      <c r="J13" s="4"/>
      <c r="K13" s="4">
        <v>50</v>
      </c>
      <c r="L13" s="11"/>
    </row>
    <row r="14" spans="1:12" x14ac:dyDescent="0.25">
      <c r="A14" s="7" t="s">
        <v>96</v>
      </c>
      <c r="B14" s="7" t="s">
        <v>97</v>
      </c>
      <c r="C14" s="7" t="s">
        <v>72</v>
      </c>
      <c r="D14" s="4">
        <v>49</v>
      </c>
      <c r="E14" s="4">
        <v>80</v>
      </c>
      <c r="F14" s="4">
        <v>70</v>
      </c>
      <c r="G14" s="4"/>
      <c r="H14" s="4">
        <v>60</v>
      </c>
      <c r="I14" s="4">
        <v>34</v>
      </c>
      <c r="J14" s="4">
        <v>70</v>
      </c>
      <c r="K14" s="4">
        <v>100</v>
      </c>
      <c r="L14" s="11"/>
    </row>
    <row r="15" spans="1:12" x14ac:dyDescent="0.25">
      <c r="A15" s="7" t="s">
        <v>98</v>
      </c>
      <c r="B15" s="7" t="s">
        <v>99</v>
      </c>
      <c r="C15" s="7" t="s">
        <v>72</v>
      </c>
      <c r="D15" s="4"/>
      <c r="E15" s="4">
        <v>58</v>
      </c>
      <c r="F15" s="4"/>
      <c r="G15" s="4">
        <v>81</v>
      </c>
      <c r="H15" s="4">
        <v>99</v>
      </c>
      <c r="I15" s="4">
        <v>34</v>
      </c>
      <c r="J15" s="4">
        <v>55</v>
      </c>
      <c r="K15" s="4">
        <v>75</v>
      </c>
      <c r="L15" s="11"/>
    </row>
    <row r="16" spans="1:12" x14ac:dyDescent="0.25">
      <c r="A16" s="7" t="s">
        <v>100</v>
      </c>
      <c r="B16" s="7" t="s">
        <v>101</v>
      </c>
      <c r="C16" s="7" t="s">
        <v>72</v>
      </c>
      <c r="D16" s="4"/>
      <c r="E16" s="4">
        <v>50</v>
      </c>
      <c r="F16" s="4"/>
      <c r="G16" s="4">
        <v>61</v>
      </c>
      <c r="H16" s="4">
        <v>95</v>
      </c>
      <c r="I16" s="4">
        <v>37</v>
      </c>
      <c r="J16" s="4">
        <v>67</v>
      </c>
      <c r="K16" s="4">
        <v>55</v>
      </c>
      <c r="L16" s="11"/>
    </row>
    <row r="17" spans="1:12" x14ac:dyDescent="0.25">
      <c r="A17" s="7" t="s">
        <v>102</v>
      </c>
      <c r="B17" s="7" t="s">
        <v>103</v>
      </c>
      <c r="C17" s="7" t="s">
        <v>72</v>
      </c>
      <c r="D17" s="4"/>
      <c r="E17" s="4"/>
      <c r="F17" s="4"/>
      <c r="G17" s="4"/>
      <c r="H17" s="4">
        <v>50</v>
      </c>
      <c r="I17" s="4">
        <v>47</v>
      </c>
      <c r="J17" s="4"/>
      <c r="K17" s="4">
        <v>50</v>
      </c>
      <c r="L17" s="11"/>
    </row>
    <row r="18" spans="1:12" x14ac:dyDescent="0.25">
      <c r="A18" s="7" t="s">
        <v>104</v>
      </c>
      <c r="B18" s="7" t="s">
        <v>105</v>
      </c>
      <c r="C18" s="7" t="s">
        <v>72</v>
      </c>
      <c r="D18" s="4"/>
      <c r="E18" s="4"/>
      <c r="F18" s="4"/>
      <c r="G18" s="4"/>
      <c r="H18" s="4">
        <v>50</v>
      </c>
      <c r="I18" s="4">
        <v>57</v>
      </c>
      <c r="J18" s="4"/>
      <c r="K18" s="4">
        <v>55</v>
      </c>
      <c r="L18" s="11"/>
    </row>
    <row r="19" spans="1:12" x14ac:dyDescent="0.25">
      <c r="A19" s="7" t="s">
        <v>106</v>
      </c>
      <c r="B19" s="7" t="s">
        <v>107</v>
      </c>
      <c r="C19" s="7" t="s">
        <v>72</v>
      </c>
      <c r="D19" s="4"/>
      <c r="E19" s="4">
        <v>80</v>
      </c>
      <c r="F19" s="4">
        <v>100</v>
      </c>
      <c r="G19" s="4">
        <v>62</v>
      </c>
      <c r="H19" s="4">
        <v>100</v>
      </c>
      <c r="I19" s="4">
        <v>29</v>
      </c>
      <c r="J19" s="4">
        <v>68</v>
      </c>
      <c r="K19" s="4">
        <v>75</v>
      </c>
      <c r="L19" s="11"/>
    </row>
    <row r="20" spans="1:12" x14ac:dyDescent="0.25">
      <c r="A20" s="7" t="s">
        <v>108</v>
      </c>
      <c r="B20" s="7" t="s">
        <v>109</v>
      </c>
      <c r="C20" s="7" t="s">
        <v>110</v>
      </c>
      <c r="D20" s="8"/>
      <c r="E20" s="8"/>
      <c r="F20" s="8"/>
      <c r="G20" s="8">
        <v>56</v>
      </c>
      <c r="H20" s="8">
        <v>50</v>
      </c>
      <c r="I20" s="8">
        <v>94</v>
      </c>
      <c r="J20" s="8">
        <v>50</v>
      </c>
      <c r="K20" s="8"/>
      <c r="L20" s="11"/>
    </row>
    <row r="21" spans="1:12" x14ac:dyDescent="0.25">
      <c r="A21" s="7" t="s">
        <v>111</v>
      </c>
      <c r="B21" s="7" t="s">
        <v>112</v>
      </c>
      <c r="C21" s="7" t="s">
        <v>110</v>
      </c>
      <c r="D21" s="8"/>
      <c r="E21" s="8"/>
      <c r="F21" s="8">
        <v>70</v>
      </c>
      <c r="G21" s="8">
        <v>44</v>
      </c>
      <c r="H21" s="8">
        <v>50</v>
      </c>
      <c r="I21" s="8">
        <v>46</v>
      </c>
      <c r="J21" s="8">
        <v>41</v>
      </c>
      <c r="K21" s="8"/>
      <c r="L21" s="11"/>
    </row>
    <row r="22" spans="1:12" x14ac:dyDescent="0.25">
      <c r="A22" s="7" t="s">
        <v>113</v>
      </c>
      <c r="B22" s="7" t="s">
        <v>114</v>
      </c>
      <c r="C22" s="7" t="s">
        <v>110</v>
      </c>
      <c r="D22" s="8">
        <v>96</v>
      </c>
      <c r="E22" s="8">
        <v>81</v>
      </c>
      <c r="F22" s="8">
        <v>80</v>
      </c>
      <c r="G22" s="8">
        <v>91</v>
      </c>
      <c r="H22" s="8">
        <v>87</v>
      </c>
      <c r="I22" s="8">
        <v>25</v>
      </c>
      <c r="J22" s="8">
        <v>100</v>
      </c>
      <c r="K22" s="8">
        <v>71</v>
      </c>
      <c r="L22" s="11"/>
    </row>
    <row r="23" spans="1:12" x14ac:dyDescent="0.25">
      <c r="A23" s="7" t="s">
        <v>115</v>
      </c>
      <c r="B23" s="7" t="s">
        <v>116</v>
      </c>
      <c r="C23" s="7" t="s">
        <v>110</v>
      </c>
      <c r="D23" s="8"/>
      <c r="E23" s="8"/>
      <c r="F23" s="8">
        <v>70</v>
      </c>
      <c r="G23" s="8">
        <v>80</v>
      </c>
      <c r="H23" s="8">
        <v>50</v>
      </c>
      <c r="I23" s="8">
        <v>61</v>
      </c>
      <c r="J23" s="8">
        <v>42</v>
      </c>
      <c r="K23" s="8"/>
      <c r="L23" s="11"/>
    </row>
    <row r="24" spans="1:12" x14ac:dyDescent="0.25">
      <c r="A24" s="7" t="s">
        <v>117</v>
      </c>
      <c r="B24" s="7" t="s">
        <v>118</v>
      </c>
      <c r="C24" s="7" t="s">
        <v>110</v>
      </c>
      <c r="D24" s="8">
        <v>72</v>
      </c>
      <c r="E24" s="8">
        <v>60</v>
      </c>
      <c r="F24" s="8">
        <v>100</v>
      </c>
      <c r="G24" s="8">
        <v>82</v>
      </c>
      <c r="H24" s="8">
        <v>43</v>
      </c>
      <c r="I24" s="8">
        <v>64</v>
      </c>
      <c r="J24" s="8">
        <v>91</v>
      </c>
      <c r="K24" s="8">
        <v>70</v>
      </c>
      <c r="L24" s="11"/>
    </row>
    <row r="25" spans="1:12" x14ac:dyDescent="0.25">
      <c r="A25" s="7" t="s">
        <v>119</v>
      </c>
      <c r="B25" s="7" t="s">
        <v>120</v>
      </c>
      <c r="C25" s="7" t="s">
        <v>110</v>
      </c>
      <c r="D25" s="8"/>
      <c r="E25" s="8"/>
      <c r="F25" s="8"/>
      <c r="G25" s="8"/>
      <c r="H25" s="8">
        <v>60</v>
      </c>
      <c r="I25" s="8">
        <v>71</v>
      </c>
      <c r="J25" s="8"/>
      <c r="K25" s="8">
        <v>70</v>
      </c>
      <c r="L25" s="11"/>
    </row>
    <row r="26" spans="1:12" x14ac:dyDescent="0.25">
      <c r="A26" s="7" t="s">
        <v>121</v>
      </c>
      <c r="B26" s="7" t="s">
        <v>122</v>
      </c>
      <c r="C26" s="7" t="s">
        <v>123</v>
      </c>
      <c r="D26" s="4">
        <v>55</v>
      </c>
      <c r="E26" s="4">
        <v>89</v>
      </c>
      <c r="F26" s="4">
        <v>70</v>
      </c>
      <c r="G26" s="4">
        <v>47</v>
      </c>
      <c r="H26" s="4">
        <v>49</v>
      </c>
      <c r="I26" s="4">
        <v>19</v>
      </c>
      <c r="J26" s="4">
        <v>60</v>
      </c>
      <c r="K26" s="4">
        <v>95</v>
      </c>
      <c r="L26" s="11"/>
    </row>
    <row r="27" spans="1:12" x14ac:dyDescent="0.25">
      <c r="A27" s="7" t="s">
        <v>124</v>
      </c>
      <c r="B27" s="7" t="s">
        <v>125</v>
      </c>
      <c r="C27" s="7" t="s">
        <v>123</v>
      </c>
      <c r="D27" s="4">
        <v>53</v>
      </c>
      <c r="E27" s="4">
        <v>74</v>
      </c>
      <c r="F27" s="4">
        <v>100</v>
      </c>
      <c r="G27" s="4">
        <v>66</v>
      </c>
      <c r="H27" s="4">
        <v>70</v>
      </c>
      <c r="I27" s="4">
        <v>33</v>
      </c>
      <c r="J27" s="4">
        <v>66</v>
      </c>
      <c r="K27" s="4">
        <v>53</v>
      </c>
      <c r="L27" s="11"/>
    </row>
    <row r="28" spans="1:12" x14ac:dyDescent="0.25">
      <c r="A28" s="7" t="s">
        <v>126</v>
      </c>
      <c r="B28" s="7" t="s">
        <v>127</v>
      </c>
      <c r="C28" s="7" t="s">
        <v>123</v>
      </c>
      <c r="D28" s="4">
        <v>50</v>
      </c>
      <c r="E28" s="4"/>
      <c r="F28" s="4"/>
      <c r="G28" s="4"/>
      <c r="H28" s="4">
        <v>91</v>
      </c>
      <c r="I28" s="4">
        <v>42</v>
      </c>
      <c r="J28" s="4">
        <v>70</v>
      </c>
      <c r="K28" s="4">
        <v>90</v>
      </c>
      <c r="L28" s="11"/>
    </row>
    <row r="29" spans="1:12" x14ac:dyDescent="0.25">
      <c r="A29" s="7" t="s">
        <v>128</v>
      </c>
      <c r="B29" s="7" t="s">
        <v>129</v>
      </c>
      <c r="C29" s="7" t="s">
        <v>123</v>
      </c>
      <c r="D29" s="4">
        <v>51</v>
      </c>
      <c r="E29" s="4">
        <v>91</v>
      </c>
      <c r="F29" s="4"/>
      <c r="G29" s="4">
        <v>43</v>
      </c>
      <c r="H29" s="4">
        <v>100</v>
      </c>
      <c r="I29" s="4">
        <v>29</v>
      </c>
      <c r="J29" s="4">
        <v>65</v>
      </c>
      <c r="K29" s="4"/>
      <c r="L29" s="11"/>
    </row>
    <row r="30" spans="1:12" x14ac:dyDescent="0.25">
      <c r="A30" s="7" t="s">
        <v>130</v>
      </c>
      <c r="B30" s="7" t="s">
        <v>131</v>
      </c>
      <c r="C30" s="7" t="s">
        <v>123</v>
      </c>
      <c r="D30" s="4">
        <v>99</v>
      </c>
      <c r="E30" s="4">
        <v>90</v>
      </c>
      <c r="F30" s="4">
        <v>100</v>
      </c>
      <c r="G30" s="4">
        <v>98</v>
      </c>
      <c r="H30" s="4">
        <v>88</v>
      </c>
      <c r="I30" s="4">
        <v>93</v>
      </c>
      <c r="J30" s="4">
        <v>94</v>
      </c>
      <c r="K30" s="4">
        <v>76</v>
      </c>
      <c r="L30" s="11"/>
    </row>
    <row r="31" spans="1:12" x14ac:dyDescent="0.25">
      <c r="A31" s="7" t="s">
        <v>132</v>
      </c>
      <c r="B31" s="7" t="s">
        <v>133</v>
      </c>
      <c r="C31" s="7" t="s">
        <v>123</v>
      </c>
      <c r="D31" s="4">
        <v>97</v>
      </c>
      <c r="E31" s="4"/>
      <c r="F31" s="4">
        <v>100</v>
      </c>
      <c r="G31" s="4">
        <v>98</v>
      </c>
      <c r="H31" s="4">
        <v>79</v>
      </c>
      <c r="I31" s="4">
        <v>34</v>
      </c>
      <c r="J31" s="4">
        <v>93</v>
      </c>
      <c r="K31" s="4">
        <v>100</v>
      </c>
      <c r="L31" s="11"/>
    </row>
    <row r="32" spans="1:12" x14ac:dyDescent="0.25">
      <c r="A32" s="7" t="s">
        <v>134</v>
      </c>
      <c r="B32" s="7" t="s">
        <v>135</v>
      </c>
      <c r="C32" s="7" t="s">
        <v>123</v>
      </c>
      <c r="D32" s="4">
        <v>99</v>
      </c>
      <c r="E32" s="4">
        <v>92</v>
      </c>
      <c r="F32" s="4">
        <v>100</v>
      </c>
      <c r="G32" s="4">
        <v>91</v>
      </c>
      <c r="H32" s="4">
        <v>78</v>
      </c>
      <c r="I32" s="4">
        <v>85</v>
      </c>
      <c r="J32" s="4">
        <v>80</v>
      </c>
      <c r="K32" s="4">
        <v>72</v>
      </c>
      <c r="L32" s="11"/>
    </row>
    <row r="33" spans="1:12" x14ac:dyDescent="0.25">
      <c r="A33" s="7" t="s">
        <v>136</v>
      </c>
      <c r="B33" s="7" t="s">
        <v>137</v>
      </c>
      <c r="C33" s="7" t="s">
        <v>123</v>
      </c>
      <c r="D33" s="4">
        <v>45</v>
      </c>
      <c r="E33" s="4"/>
      <c r="F33" s="4"/>
      <c r="G33" s="4"/>
      <c r="H33" s="4"/>
      <c r="I33" s="4"/>
      <c r="J33" s="4"/>
      <c r="K33" s="4"/>
      <c r="L33" s="11"/>
    </row>
    <row r="34" spans="1:12" x14ac:dyDescent="0.25">
      <c r="A34" s="7" t="s">
        <v>138</v>
      </c>
      <c r="B34" s="7" t="s">
        <v>139</v>
      </c>
      <c r="C34" s="7" t="s">
        <v>123</v>
      </c>
      <c r="D34" s="4">
        <v>54</v>
      </c>
      <c r="E34" s="4">
        <v>91</v>
      </c>
      <c r="F34" s="4">
        <v>100</v>
      </c>
      <c r="G34" s="4">
        <v>86</v>
      </c>
      <c r="H34" s="4">
        <v>72</v>
      </c>
      <c r="I34" s="4">
        <v>28</v>
      </c>
      <c r="J34" s="4">
        <v>77</v>
      </c>
      <c r="K34" s="4">
        <v>95</v>
      </c>
      <c r="L34" s="11"/>
    </row>
    <row r="35" spans="1:12" x14ac:dyDescent="0.25">
      <c r="A35" s="7" t="s">
        <v>140</v>
      </c>
      <c r="B35" s="7" t="s">
        <v>141</v>
      </c>
      <c r="C35" s="7" t="s">
        <v>123</v>
      </c>
      <c r="D35" s="4"/>
      <c r="E35" s="4"/>
      <c r="F35" s="4"/>
      <c r="G35" s="4">
        <v>45</v>
      </c>
      <c r="H35" s="4">
        <v>100</v>
      </c>
      <c r="I35" s="4">
        <v>38</v>
      </c>
      <c r="J35" s="4">
        <v>70</v>
      </c>
      <c r="K35" s="4">
        <v>50</v>
      </c>
      <c r="L35" s="11"/>
    </row>
    <row r="36" spans="1:12" x14ac:dyDescent="0.25">
      <c r="A36" s="7" t="s">
        <v>142</v>
      </c>
      <c r="B36" s="7" t="s">
        <v>143</v>
      </c>
      <c r="C36" s="7" t="s">
        <v>123</v>
      </c>
      <c r="D36" s="4">
        <v>54</v>
      </c>
      <c r="E36" s="4">
        <v>86</v>
      </c>
      <c r="F36" s="4">
        <v>100</v>
      </c>
      <c r="G36" s="4">
        <v>98</v>
      </c>
      <c r="H36" s="4">
        <v>80</v>
      </c>
      <c r="I36" s="4">
        <v>55</v>
      </c>
      <c r="J36" s="4">
        <v>89</v>
      </c>
      <c r="K36" s="4">
        <v>100</v>
      </c>
      <c r="L36" s="11"/>
    </row>
    <row r="37" spans="1:12" x14ac:dyDescent="0.25">
      <c r="A37" s="7" t="s">
        <v>144</v>
      </c>
      <c r="B37" s="7" t="s">
        <v>145</v>
      </c>
      <c r="C37" s="7" t="s">
        <v>123</v>
      </c>
      <c r="D37" s="4">
        <v>98</v>
      </c>
      <c r="E37" s="4">
        <v>94</v>
      </c>
      <c r="F37" s="4">
        <v>100</v>
      </c>
      <c r="G37" s="4">
        <v>98</v>
      </c>
      <c r="H37" s="4">
        <v>92</v>
      </c>
      <c r="I37" s="4">
        <v>18</v>
      </c>
      <c r="J37" s="4">
        <v>91</v>
      </c>
      <c r="K37" s="4">
        <v>100</v>
      </c>
      <c r="L37" s="11"/>
    </row>
    <row r="38" spans="1:12" x14ac:dyDescent="0.25">
      <c r="A38" s="7" t="s">
        <v>146</v>
      </c>
      <c r="B38" s="7" t="s">
        <v>147</v>
      </c>
      <c r="C38" s="7" t="s">
        <v>123</v>
      </c>
      <c r="D38" s="4">
        <v>99</v>
      </c>
      <c r="E38" s="4">
        <v>80</v>
      </c>
      <c r="F38" s="4">
        <v>100</v>
      </c>
      <c r="G38" s="4">
        <v>59</v>
      </c>
      <c r="H38" s="4">
        <v>76</v>
      </c>
      <c r="I38" s="4">
        <v>84</v>
      </c>
      <c r="J38" s="4">
        <v>60</v>
      </c>
      <c r="K38" s="4">
        <v>96</v>
      </c>
      <c r="L38" s="11"/>
    </row>
    <row r="39" spans="1:12" x14ac:dyDescent="0.25">
      <c r="A39" s="7" t="s">
        <v>148</v>
      </c>
      <c r="B39" s="7" t="s">
        <v>149</v>
      </c>
      <c r="C39" s="7" t="s">
        <v>123</v>
      </c>
      <c r="D39" s="4">
        <v>46</v>
      </c>
      <c r="E39" s="4">
        <v>60</v>
      </c>
      <c r="F39" s="4">
        <v>100</v>
      </c>
      <c r="G39" s="4">
        <v>65</v>
      </c>
      <c r="H39" s="4">
        <v>50</v>
      </c>
      <c r="I39" s="4">
        <v>36</v>
      </c>
      <c r="J39" s="4">
        <v>45</v>
      </c>
      <c r="K39" s="4">
        <v>80</v>
      </c>
      <c r="L39" s="11"/>
    </row>
    <row r="40" spans="1:12" x14ac:dyDescent="0.25">
      <c r="A40" s="7" t="s">
        <v>96</v>
      </c>
      <c r="B40" s="7" t="s">
        <v>97</v>
      </c>
      <c r="C40" s="7" t="s">
        <v>123</v>
      </c>
      <c r="D40" s="4">
        <v>49</v>
      </c>
      <c r="E40" s="4">
        <v>80</v>
      </c>
      <c r="F40" s="4">
        <v>70</v>
      </c>
      <c r="G40" s="4"/>
      <c r="H40" s="4">
        <v>60</v>
      </c>
      <c r="I40" s="4">
        <v>34</v>
      </c>
      <c r="J40" s="4">
        <v>70</v>
      </c>
      <c r="K40" s="4">
        <v>100</v>
      </c>
      <c r="L40" s="11"/>
    </row>
    <row r="41" spans="1:12" x14ac:dyDescent="0.25">
      <c r="A41" s="7" t="s">
        <v>150</v>
      </c>
      <c r="B41" s="7" t="s">
        <v>151</v>
      </c>
      <c r="C41" s="7" t="s">
        <v>123</v>
      </c>
      <c r="D41" s="4">
        <v>49</v>
      </c>
      <c r="E41" s="4">
        <v>67</v>
      </c>
      <c r="F41" s="4"/>
      <c r="G41" s="4">
        <v>52</v>
      </c>
      <c r="H41" s="4"/>
      <c r="I41" s="4">
        <v>60</v>
      </c>
      <c r="J41" s="4">
        <v>78</v>
      </c>
      <c r="K41" s="4">
        <v>90</v>
      </c>
      <c r="L41" s="11"/>
    </row>
    <row r="42" spans="1:12" x14ac:dyDescent="0.25">
      <c r="A42" s="7" t="s">
        <v>152</v>
      </c>
      <c r="B42" s="7" t="s">
        <v>153</v>
      </c>
      <c r="C42" s="7" t="s">
        <v>123</v>
      </c>
      <c r="D42" s="4">
        <v>70</v>
      </c>
      <c r="E42" s="4">
        <v>65</v>
      </c>
      <c r="F42" s="4">
        <v>70</v>
      </c>
      <c r="G42" s="4">
        <v>68</v>
      </c>
      <c r="H42" s="4">
        <v>91</v>
      </c>
      <c r="I42" s="4">
        <v>46</v>
      </c>
      <c r="J42" s="4">
        <v>64</v>
      </c>
      <c r="K42" s="4"/>
      <c r="L42" s="11"/>
    </row>
    <row r="43" spans="1:12" x14ac:dyDescent="0.25">
      <c r="A43" s="7" t="s">
        <v>154</v>
      </c>
      <c r="B43" s="7" t="s">
        <v>155</v>
      </c>
      <c r="C43" s="7" t="s">
        <v>123</v>
      </c>
      <c r="D43" s="4">
        <v>97</v>
      </c>
      <c r="E43" s="4">
        <v>80</v>
      </c>
      <c r="F43" s="4">
        <v>100</v>
      </c>
      <c r="G43" s="4">
        <v>89</v>
      </c>
      <c r="H43" s="4"/>
      <c r="I43" s="4">
        <v>57</v>
      </c>
      <c r="J43" s="4">
        <v>71</v>
      </c>
      <c r="K43" s="4">
        <v>94</v>
      </c>
      <c r="L43" s="11"/>
    </row>
    <row r="44" spans="1:12" x14ac:dyDescent="0.25">
      <c r="A44" s="7" t="s">
        <v>156</v>
      </c>
      <c r="B44" s="7" t="s">
        <v>157</v>
      </c>
      <c r="C44" s="7" t="s">
        <v>123</v>
      </c>
      <c r="D44" s="4">
        <v>87</v>
      </c>
      <c r="E44" s="4">
        <v>76</v>
      </c>
      <c r="F44" s="4"/>
      <c r="G44" s="4"/>
      <c r="H44" s="4">
        <v>91</v>
      </c>
      <c r="I44" s="4">
        <v>40</v>
      </c>
      <c r="J44" s="4"/>
      <c r="K44" s="4">
        <v>99</v>
      </c>
      <c r="L44" s="11"/>
    </row>
    <row r="45" spans="1:12" x14ac:dyDescent="0.25">
      <c r="A45" s="7" t="s">
        <v>158</v>
      </c>
      <c r="B45" s="7" t="s">
        <v>159</v>
      </c>
      <c r="C45" s="7" t="s">
        <v>123</v>
      </c>
      <c r="D45" s="4">
        <v>53</v>
      </c>
      <c r="E45" s="4">
        <v>71</v>
      </c>
      <c r="F45" s="4">
        <v>100</v>
      </c>
      <c r="G45" s="4"/>
      <c r="H45" s="4">
        <v>55</v>
      </c>
      <c r="I45" s="4">
        <v>85</v>
      </c>
      <c r="J45" s="4"/>
      <c r="K45" s="4">
        <v>50</v>
      </c>
      <c r="L45" s="11"/>
    </row>
    <row r="46" spans="1:12" x14ac:dyDescent="0.25">
      <c r="A46" s="7" t="s">
        <v>160</v>
      </c>
      <c r="B46" s="7" t="s">
        <v>161</v>
      </c>
      <c r="C46" s="7" t="s">
        <v>162</v>
      </c>
      <c r="D46" s="8">
        <v>98</v>
      </c>
      <c r="E46" s="8">
        <v>97</v>
      </c>
      <c r="F46" s="8">
        <v>90</v>
      </c>
      <c r="G46" s="8">
        <v>59</v>
      </c>
      <c r="H46" s="8">
        <v>59</v>
      </c>
      <c r="I46" s="8">
        <v>33</v>
      </c>
      <c r="J46" s="8">
        <v>82</v>
      </c>
      <c r="K46" s="8">
        <v>74</v>
      </c>
      <c r="L46" s="11"/>
    </row>
    <row r="47" spans="1:12" x14ac:dyDescent="0.25">
      <c r="A47" s="7" t="s">
        <v>163</v>
      </c>
      <c r="B47" s="7" t="s">
        <v>164</v>
      </c>
      <c r="C47" s="7" t="s">
        <v>162</v>
      </c>
      <c r="D47" s="4"/>
      <c r="E47" s="4">
        <v>70</v>
      </c>
      <c r="F47" s="4"/>
      <c r="G47" s="4"/>
      <c r="H47" s="4"/>
      <c r="I47" s="4">
        <v>75</v>
      </c>
      <c r="J47" s="4"/>
      <c r="K47" s="4"/>
      <c r="L47" s="11"/>
    </row>
    <row r="48" spans="1:12" x14ac:dyDescent="0.25">
      <c r="A48" s="7" t="s">
        <v>165</v>
      </c>
      <c r="B48" s="7" t="s">
        <v>166</v>
      </c>
      <c r="C48" s="7" t="s">
        <v>162</v>
      </c>
      <c r="D48" s="4"/>
      <c r="E48" s="4"/>
      <c r="F48" s="4"/>
      <c r="G48" s="4"/>
      <c r="H48" s="4"/>
      <c r="I48" s="4">
        <v>85</v>
      </c>
      <c r="J48" s="4"/>
      <c r="K48" s="4"/>
      <c r="L48" s="11"/>
    </row>
    <row r="49" spans="1:12" x14ac:dyDescent="0.25">
      <c r="A49" s="7" t="s">
        <v>167</v>
      </c>
      <c r="B49" s="7" t="s">
        <v>168</v>
      </c>
      <c r="C49" s="7" t="s">
        <v>162</v>
      </c>
      <c r="D49" s="4"/>
      <c r="E49" s="4">
        <v>49</v>
      </c>
      <c r="F49" s="4">
        <v>80</v>
      </c>
      <c r="G49" s="4">
        <v>60</v>
      </c>
      <c r="H49" s="4">
        <v>60</v>
      </c>
      <c r="I49" s="4">
        <v>49</v>
      </c>
      <c r="J49" s="4">
        <v>77</v>
      </c>
      <c r="K49" s="4">
        <v>50</v>
      </c>
      <c r="L49" s="11"/>
    </row>
    <row r="50" spans="1:12" x14ac:dyDescent="0.25">
      <c r="A50" s="7" t="s">
        <v>169</v>
      </c>
      <c r="B50" s="7" t="s">
        <v>170</v>
      </c>
      <c r="C50" s="7" t="s">
        <v>162</v>
      </c>
      <c r="D50" s="4">
        <v>91</v>
      </c>
      <c r="E50" s="4">
        <v>83</v>
      </c>
      <c r="F50" s="4">
        <v>90</v>
      </c>
      <c r="G50" s="4">
        <v>60</v>
      </c>
      <c r="H50" s="4">
        <v>43</v>
      </c>
      <c r="I50" s="4">
        <v>25</v>
      </c>
      <c r="J50" s="4">
        <v>69</v>
      </c>
      <c r="K50" s="4">
        <v>53</v>
      </c>
      <c r="L50" s="11"/>
    </row>
    <row r="51" spans="1:12" x14ac:dyDescent="0.25">
      <c r="A51" s="7" t="s">
        <v>171</v>
      </c>
      <c r="B51" s="7" t="s">
        <v>172</v>
      </c>
      <c r="C51" s="7" t="s">
        <v>162</v>
      </c>
      <c r="D51" s="4"/>
      <c r="E51" s="4"/>
      <c r="F51" s="4"/>
      <c r="G51" s="4"/>
      <c r="H51" s="4"/>
      <c r="I51" s="4">
        <v>84</v>
      </c>
      <c r="J51" s="4"/>
      <c r="K51" s="4">
        <v>70</v>
      </c>
      <c r="L51" s="11"/>
    </row>
    <row r="52" spans="1:12" x14ac:dyDescent="0.25">
      <c r="A52" s="7" t="s">
        <v>173</v>
      </c>
      <c r="B52" s="7" t="s">
        <v>174</v>
      </c>
      <c r="C52" s="7" t="s">
        <v>162</v>
      </c>
      <c r="D52" s="4"/>
      <c r="E52" s="4"/>
      <c r="F52" s="4"/>
      <c r="G52" s="4"/>
      <c r="H52" s="4"/>
      <c r="I52" s="4">
        <v>81</v>
      </c>
      <c r="J52" s="4">
        <v>50</v>
      </c>
      <c r="K52" s="4">
        <v>50</v>
      </c>
      <c r="L52" s="11"/>
    </row>
    <row r="53" spans="1:12" x14ac:dyDescent="0.25">
      <c r="A53" s="7" t="s">
        <v>175</v>
      </c>
      <c r="B53" s="7" t="s">
        <v>176</v>
      </c>
      <c r="C53" s="7" t="s">
        <v>162</v>
      </c>
      <c r="D53" s="4">
        <v>87</v>
      </c>
      <c r="E53" s="4">
        <v>96</v>
      </c>
      <c r="F53" s="4">
        <v>100</v>
      </c>
      <c r="G53" s="4">
        <v>87</v>
      </c>
      <c r="H53" s="4">
        <v>94</v>
      </c>
      <c r="I53" s="4">
        <v>12</v>
      </c>
      <c r="J53" s="4">
        <v>95</v>
      </c>
      <c r="K53" s="4">
        <v>100</v>
      </c>
      <c r="L53" s="11"/>
    </row>
    <row r="54" spans="1:12" x14ac:dyDescent="0.25">
      <c r="A54" s="7" t="s">
        <v>177</v>
      </c>
      <c r="B54" s="7" t="s">
        <v>178</v>
      </c>
      <c r="C54" s="7" t="s">
        <v>162</v>
      </c>
      <c r="D54" s="4">
        <v>91</v>
      </c>
      <c r="E54" s="4">
        <v>46</v>
      </c>
      <c r="F54" s="4">
        <v>80</v>
      </c>
      <c r="G54" s="4">
        <v>56</v>
      </c>
      <c r="H54" s="4">
        <v>60</v>
      </c>
      <c r="I54" s="4">
        <v>64</v>
      </c>
      <c r="J54" s="4">
        <v>51</v>
      </c>
      <c r="K54" s="4"/>
      <c r="L54" s="11"/>
    </row>
    <row r="55" spans="1:12" x14ac:dyDescent="0.25">
      <c r="A55" s="7" t="s">
        <v>179</v>
      </c>
      <c r="B55" s="7" t="s">
        <v>180</v>
      </c>
      <c r="C55" s="7" t="s">
        <v>162</v>
      </c>
      <c r="D55" s="4">
        <v>87</v>
      </c>
      <c r="E55" s="4">
        <v>77</v>
      </c>
      <c r="F55" s="4">
        <v>90</v>
      </c>
      <c r="G55" s="4">
        <v>67</v>
      </c>
      <c r="H55" s="4">
        <v>53</v>
      </c>
      <c r="I55" s="4">
        <v>12</v>
      </c>
      <c r="J55" s="4">
        <v>69</v>
      </c>
      <c r="K55" s="4">
        <v>100</v>
      </c>
      <c r="L55" s="11"/>
    </row>
    <row r="56" spans="1:12" x14ac:dyDescent="0.25">
      <c r="A56" s="7" t="s">
        <v>181</v>
      </c>
      <c r="B56" s="7" t="s">
        <v>182</v>
      </c>
      <c r="C56" s="7" t="s">
        <v>162</v>
      </c>
      <c r="D56" s="4">
        <v>87</v>
      </c>
      <c r="E56" s="4">
        <v>48</v>
      </c>
      <c r="F56" s="4">
        <v>100</v>
      </c>
      <c r="G56" s="4">
        <v>60</v>
      </c>
      <c r="H56" s="4">
        <v>69</v>
      </c>
      <c r="I56" s="4">
        <v>72</v>
      </c>
      <c r="J56" s="4">
        <v>64</v>
      </c>
      <c r="K56" s="4">
        <v>95</v>
      </c>
      <c r="L56" s="11"/>
    </row>
    <row r="57" spans="1:12" x14ac:dyDescent="0.25">
      <c r="A57" s="7" t="s">
        <v>183</v>
      </c>
      <c r="B57" s="7" t="s">
        <v>184</v>
      </c>
      <c r="C57" s="7" t="s">
        <v>162</v>
      </c>
      <c r="D57" s="4">
        <v>88</v>
      </c>
      <c r="E57" s="4">
        <v>77</v>
      </c>
      <c r="F57" s="4">
        <v>100</v>
      </c>
      <c r="G57" s="4">
        <v>66</v>
      </c>
      <c r="H57" s="4">
        <v>70</v>
      </c>
      <c r="I57" s="4">
        <v>20</v>
      </c>
      <c r="J57" s="4">
        <v>85</v>
      </c>
      <c r="K57" s="4">
        <v>55</v>
      </c>
      <c r="L57" s="11"/>
    </row>
    <row r="58" spans="1:12" x14ac:dyDescent="0.25">
      <c r="A58" s="7" t="s">
        <v>185</v>
      </c>
      <c r="B58" s="7" t="s">
        <v>186</v>
      </c>
      <c r="C58" s="7" t="s">
        <v>162</v>
      </c>
      <c r="D58" s="4">
        <v>79</v>
      </c>
      <c r="E58" s="4">
        <v>86</v>
      </c>
      <c r="F58" s="4">
        <v>100</v>
      </c>
      <c r="G58" s="4">
        <v>67</v>
      </c>
      <c r="H58" s="4">
        <v>72</v>
      </c>
      <c r="I58" s="4">
        <v>74</v>
      </c>
      <c r="J58" s="4">
        <v>87</v>
      </c>
      <c r="K58" s="4">
        <v>100</v>
      </c>
      <c r="L58" s="11"/>
    </row>
    <row r="59" spans="1:12" x14ac:dyDescent="0.25">
      <c r="A59" s="7" t="s">
        <v>187</v>
      </c>
      <c r="B59" s="7" t="s">
        <v>188</v>
      </c>
      <c r="C59" s="7" t="s">
        <v>162</v>
      </c>
      <c r="D59" s="4">
        <v>86</v>
      </c>
      <c r="E59" s="4">
        <v>45</v>
      </c>
      <c r="F59" s="4">
        <v>90</v>
      </c>
      <c r="G59" s="4">
        <v>50</v>
      </c>
      <c r="H59" s="4"/>
      <c r="I59" s="4">
        <v>45</v>
      </c>
      <c r="J59" s="4">
        <v>50</v>
      </c>
      <c r="K59" s="4"/>
      <c r="L59" s="11"/>
    </row>
    <row r="60" spans="1:12" x14ac:dyDescent="0.25">
      <c r="A60" s="7" t="s">
        <v>189</v>
      </c>
      <c r="B60" s="7" t="s">
        <v>190</v>
      </c>
      <c r="C60" s="7" t="s">
        <v>162</v>
      </c>
      <c r="D60" s="8"/>
      <c r="E60" s="8"/>
      <c r="F60" s="8">
        <v>80</v>
      </c>
      <c r="G60" s="8">
        <v>57</v>
      </c>
      <c r="H60" s="8">
        <v>69</v>
      </c>
      <c r="I60" s="8">
        <v>45</v>
      </c>
      <c r="J60" s="8">
        <v>51</v>
      </c>
      <c r="K60" s="8"/>
      <c r="L60" s="11"/>
    </row>
    <row r="61" spans="1:12" x14ac:dyDescent="0.25">
      <c r="A61" s="7" t="s">
        <v>191</v>
      </c>
      <c r="B61" s="7" t="s">
        <v>192</v>
      </c>
      <c r="C61" s="7" t="s">
        <v>162</v>
      </c>
      <c r="D61" s="4">
        <v>93</v>
      </c>
      <c r="E61" s="4">
        <v>50</v>
      </c>
      <c r="F61" s="4">
        <v>80</v>
      </c>
      <c r="G61" s="4">
        <v>58</v>
      </c>
      <c r="H61" s="4">
        <v>91</v>
      </c>
      <c r="I61" s="4">
        <v>29</v>
      </c>
      <c r="J61" s="4">
        <v>70</v>
      </c>
      <c r="K61" s="4"/>
      <c r="L61" s="11"/>
    </row>
    <row r="62" spans="1:12" x14ac:dyDescent="0.25">
      <c r="A62" s="7"/>
      <c r="B62" s="7" t="s">
        <v>193</v>
      </c>
      <c r="C62" s="7" t="s">
        <v>162</v>
      </c>
      <c r="D62" s="4"/>
      <c r="E62" s="4"/>
      <c r="F62" s="4"/>
      <c r="G62" s="4"/>
      <c r="H62" s="4"/>
      <c r="I62" s="4"/>
      <c r="J62" s="4"/>
      <c r="K62" s="4"/>
      <c r="L62" s="11"/>
    </row>
    <row r="63" spans="1:12" x14ac:dyDescent="0.25">
      <c r="A63" s="7"/>
      <c r="B63" s="7" t="s">
        <v>195</v>
      </c>
      <c r="C63" s="7" t="s">
        <v>162</v>
      </c>
      <c r="D63" s="4"/>
      <c r="E63" s="4">
        <v>78</v>
      </c>
      <c r="F63" s="4">
        <v>50</v>
      </c>
      <c r="G63" s="4">
        <v>51</v>
      </c>
      <c r="H63" s="4">
        <v>75</v>
      </c>
      <c r="I63" s="4">
        <v>45</v>
      </c>
      <c r="J63" s="4"/>
      <c r="K63" s="4">
        <v>80</v>
      </c>
      <c r="L63" s="11"/>
    </row>
    <row r="64" spans="1:12" x14ac:dyDescent="0.25">
      <c r="A64" s="7" t="s">
        <v>196</v>
      </c>
      <c r="B64" s="7" t="s">
        <v>197</v>
      </c>
      <c r="C64" s="7" t="s">
        <v>162</v>
      </c>
      <c r="D64" s="4">
        <v>92</v>
      </c>
      <c r="E64" s="4">
        <v>91</v>
      </c>
      <c r="F64" s="4">
        <v>90</v>
      </c>
      <c r="G64" s="4">
        <v>67</v>
      </c>
      <c r="H64" s="4">
        <v>100</v>
      </c>
      <c r="I64" s="4">
        <v>13</v>
      </c>
      <c r="J64" s="4">
        <v>73</v>
      </c>
      <c r="K64" s="4">
        <v>94</v>
      </c>
      <c r="L64" s="11"/>
    </row>
    <row r="65" spans="1:12" x14ac:dyDescent="0.25">
      <c r="A65" s="7"/>
      <c r="B65" s="7" t="s">
        <v>198</v>
      </c>
      <c r="C65" s="7" t="s">
        <v>162</v>
      </c>
      <c r="D65" s="4">
        <v>86</v>
      </c>
      <c r="E65" s="4">
        <v>94</v>
      </c>
      <c r="F65" s="4">
        <v>100</v>
      </c>
      <c r="G65" s="4">
        <v>69</v>
      </c>
      <c r="H65" s="4">
        <v>100</v>
      </c>
      <c r="I65" s="4">
        <v>28</v>
      </c>
      <c r="J65" s="4">
        <v>74</v>
      </c>
      <c r="K65" s="4">
        <v>100</v>
      </c>
      <c r="L65" s="11"/>
    </row>
    <row r="66" spans="1:12" x14ac:dyDescent="0.25">
      <c r="A66" s="7" t="s">
        <v>199</v>
      </c>
      <c r="B66" s="7" t="s">
        <v>200</v>
      </c>
      <c r="C66" s="7" t="s">
        <v>162</v>
      </c>
      <c r="D66" s="4">
        <v>91</v>
      </c>
      <c r="E66" s="4">
        <v>91</v>
      </c>
      <c r="F66" s="4">
        <v>90</v>
      </c>
      <c r="G66" s="4">
        <v>81</v>
      </c>
      <c r="H66" s="4">
        <v>100</v>
      </c>
      <c r="I66" s="4">
        <v>56</v>
      </c>
      <c r="J66" s="4">
        <v>88</v>
      </c>
      <c r="K66" s="4">
        <v>100</v>
      </c>
      <c r="L66" s="11"/>
    </row>
    <row r="67" spans="1:12" x14ac:dyDescent="0.25">
      <c r="A67" s="7" t="s">
        <v>201</v>
      </c>
      <c r="B67" s="7" t="s">
        <v>202</v>
      </c>
      <c r="C67" s="7" t="s">
        <v>162</v>
      </c>
      <c r="D67" s="4">
        <v>91</v>
      </c>
      <c r="E67" s="4">
        <v>90</v>
      </c>
      <c r="F67" s="4">
        <v>100</v>
      </c>
      <c r="G67" s="4">
        <v>76</v>
      </c>
      <c r="H67" s="4">
        <v>100</v>
      </c>
      <c r="I67" s="4">
        <v>96</v>
      </c>
      <c r="J67" s="4">
        <v>64</v>
      </c>
      <c r="K67" s="4">
        <v>100</v>
      </c>
      <c r="L67" s="11"/>
    </row>
    <row r="68" spans="1:12" x14ac:dyDescent="0.25">
      <c r="A68" s="7" t="s">
        <v>203</v>
      </c>
      <c r="B68" s="7" t="s">
        <v>204</v>
      </c>
      <c r="C68" s="7" t="s">
        <v>205</v>
      </c>
      <c r="D68" s="4"/>
      <c r="E68" s="4">
        <v>90</v>
      </c>
      <c r="F68" s="4">
        <v>100</v>
      </c>
      <c r="G68" s="4">
        <v>98</v>
      </c>
      <c r="H68" s="4">
        <v>62</v>
      </c>
      <c r="I68" s="4">
        <v>35</v>
      </c>
      <c r="J68" s="4">
        <v>81</v>
      </c>
      <c r="K68" s="4">
        <v>80</v>
      </c>
      <c r="L68" s="11"/>
    </row>
    <row r="69" spans="1:12" x14ac:dyDescent="0.25">
      <c r="A69" s="7" t="s">
        <v>206</v>
      </c>
      <c r="B69" s="7" t="s">
        <v>207</v>
      </c>
      <c r="C69" s="7" t="s">
        <v>205</v>
      </c>
      <c r="D69" s="4"/>
      <c r="E69" s="4">
        <v>94</v>
      </c>
      <c r="F69" s="4">
        <v>100</v>
      </c>
      <c r="G69" s="4">
        <v>73</v>
      </c>
      <c r="H69" s="4">
        <v>75</v>
      </c>
      <c r="I69" s="4">
        <v>19</v>
      </c>
      <c r="J69" s="4">
        <v>72</v>
      </c>
      <c r="K69" s="4">
        <v>80</v>
      </c>
      <c r="L69" s="11"/>
    </row>
    <row r="70" spans="1:12" x14ac:dyDescent="0.25">
      <c r="A70" s="7" t="s">
        <v>208</v>
      </c>
      <c r="B70" s="7" t="s">
        <v>209</v>
      </c>
      <c r="C70" s="7" t="s">
        <v>205</v>
      </c>
      <c r="D70" s="4"/>
      <c r="E70" s="4"/>
      <c r="F70" s="4">
        <v>100</v>
      </c>
      <c r="G70" s="4">
        <v>98</v>
      </c>
      <c r="H70" s="4">
        <v>59</v>
      </c>
      <c r="I70" s="4">
        <v>20</v>
      </c>
      <c r="J70" s="4">
        <v>49</v>
      </c>
      <c r="K70" s="4">
        <v>80</v>
      </c>
      <c r="L70" s="11"/>
    </row>
    <row r="71" spans="1:12" x14ac:dyDescent="0.25">
      <c r="A71" s="7" t="s">
        <v>210</v>
      </c>
      <c r="B71" s="7" t="s">
        <v>211</v>
      </c>
      <c r="C71" s="7" t="s">
        <v>205</v>
      </c>
      <c r="D71" s="4"/>
      <c r="E71" s="4">
        <v>92</v>
      </c>
      <c r="F71" s="4">
        <v>100</v>
      </c>
      <c r="G71" s="4">
        <v>80</v>
      </c>
      <c r="H71" s="4">
        <v>48</v>
      </c>
      <c r="I71" s="4">
        <v>23</v>
      </c>
      <c r="J71" s="4">
        <v>81</v>
      </c>
      <c r="K71" s="4">
        <v>90</v>
      </c>
      <c r="L71" s="11"/>
    </row>
    <row r="72" spans="1:12" x14ac:dyDescent="0.25">
      <c r="A72" s="7" t="s">
        <v>212</v>
      </c>
      <c r="B72" s="7" t="s">
        <v>213</v>
      </c>
      <c r="C72" s="7" t="s">
        <v>205</v>
      </c>
      <c r="D72" s="4"/>
      <c r="E72" s="4">
        <v>92</v>
      </c>
      <c r="F72" s="4">
        <v>100</v>
      </c>
      <c r="G72" s="4">
        <v>93</v>
      </c>
      <c r="H72" s="4">
        <v>63</v>
      </c>
      <c r="I72" s="4">
        <v>86</v>
      </c>
      <c r="J72" s="4">
        <v>78</v>
      </c>
      <c r="K72" s="4">
        <v>89</v>
      </c>
      <c r="L72" s="11"/>
    </row>
    <row r="73" spans="1:12" x14ac:dyDescent="0.25">
      <c r="A73" s="7" t="s">
        <v>214</v>
      </c>
      <c r="B73" s="7" t="s">
        <v>215</v>
      </c>
      <c r="C73" s="7" t="s">
        <v>205</v>
      </c>
      <c r="D73" s="4"/>
      <c r="E73" s="4">
        <v>93</v>
      </c>
      <c r="F73" s="4">
        <v>100</v>
      </c>
      <c r="G73" s="4">
        <v>86</v>
      </c>
      <c r="H73" s="4">
        <v>100</v>
      </c>
      <c r="I73" s="4">
        <v>30</v>
      </c>
      <c r="J73" s="4">
        <v>56</v>
      </c>
      <c r="K73" s="4">
        <v>95</v>
      </c>
      <c r="L73" s="11"/>
    </row>
    <row r="74" spans="1:12" x14ac:dyDescent="0.25">
      <c r="A74" s="7" t="s">
        <v>216</v>
      </c>
      <c r="B74" s="7" t="s">
        <v>217</v>
      </c>
      <c r="C74" s="7" t="s">
        <v>205</v>
      </c>
      <c r="D74" s="4"/>
      <c r="E74" s="4">
        <v>92</v>
      </c>
      <c r="F74" s="4">
        <v>100</v>
      </c>
      <c r="G74" s="4">
        <v>94</v>
      </c>
      <c r="H74" s="4">
        <v>81</v>
      </c>
      <c r="I74" s="4">
        <v>15</v>
      </c>
      <c r="J74" s="4">
        <v>89</v>
      </c>
      <c r="K74" s="4">
        <v>90</v>
      </c>
      <c r="L74" s="11"/>
    </row>
    <row r="75" spans="1:12" x14ac:dyDescent="0.25">
      <c r="A75" s="7" t="s">
        <v>218</v>
      </c>
      <c r="B75" s="7" t="s">
        <v>219</v>
      </c>
      <c r="C75" s="7" t="s">
        <v>205</v>
      </c>
      <c r="D75" s="4"/>
      <c r="E75" s="4">
        <v>96</v>
      </c>
      <c r="F75" s="4">
        <v>100</v>
      </c>
      <c r="G75" s="4">
        <v>81</v>
      </c>
      <c r="H75" s="4">
        <v>85</v>
      </c>
      <c r="I75" s="4">
        <v>97</v>
      </c>
      <c r="J75" s="4">
        <v>84</v>
      </c>
      <c r="K75" s="4">
        <v>95</v>
      </c>
      <c r="L75" s="11"/>
    </row>
    <row r="76" spans="1:12" x14ac:dyDescent="0.25">
      <c r="A76" s="7" t="s">
        <v>220</v>
      </c>
      <c r="B76" s="7" t="s">
        <v>221</v>
      </c>
      <c r="C76" s="7" t="s">
        <v>205</v>
      </c>
      <c r="D76" s="4"/>
      <c r="E76" s="4">
        <v>94</v>
      </c>
      <c r="F76" s="4">
        <v>100</v>
      </c>
      <c r="G76" s="4">
        <v>95</v>
      </c>
      <c r="H76" s="4">
        <v>74</v>
      </c>
      <c r="I76" s="4">
        <v>69</v>
      </c>
      <c r="J76" s="4">
        <v>94</v>
      </c>
      <c r="K76" s="4">
        <v>90</v>
      </c>
      <c r="L76" s="11"/>
    </row>
    <row r="77" spans="1:12" x14ac:dyDescent="0.25">
      <c r="A77" s="7" t="s">
        <v>222</v>
      </c>
      <c r="B77" s="7" t="s">
        <v>223</v>
      </c>
      <c r="C77" s="7" t="s">
        <v>205</v>
      </c>
      <c r="D77" s="4"/>
      <c r="E77" s="4">
        <v>58</v>
      </c>
      <c r="F77" s="4">
        <v>100</v>
      </c>
      <c r="G77" s="4">
        <v>58</v>
      </c>
      <c r="H77" s="4">
        <v>94</v>
      </c>
      <c r="I77" s="4">
        <v>37</v>
      </c>
      <c r="J77" s="4">
        <v>75</v>
      </c>
      <c r="K77" s="4">
        <v>70</v>
      </c>
      <c r="L77" s="11"/>
    </row>
    <row r="78" spans="1:12" x14ac:dyDescent="0.25">
      <c r="A78" s="7" t="s">
        <v>224</v>
      </c>
      <c r="B78" s="7" t="s">
        <v>225</v>
      </c>
      <c r="C78" s="7" t="s">
        <v>205</v>
      </c>
      <c r="D78" s="4"/>
      <c r="E78" s="4">
        <v>89</v>
      </c>
      <c r="F78" s="4">
        <v>100</v>
      </c>
      <c r="G78" s="4">
        <v>84</v>
      </c>
      <c r="H78" s="4">
        <v>92</v>
      </c>
      <c r="I78" s="4">
        <v>99</v>
      </c>
      <c r="J78" s="4">
        <v>96</v>
      </c>
      <c r="K78" s="4">
        <v>51</v>
      </c>
      <c r="L78" s="11"/>
    </row>
    <row r="79" spans="1:12" x14ac:dyDescent="0.25">
      <c r="A79" s="7"/>
      <c r="B79" s="7" t="s">
        <v>226</v>
      </c>
      <c r="C79" s="7" t="s">
        <v>205</v>
      </c>
      <c r="D79" s="8"/>
      <c r="E79" s="8"/>
      <c r="F79" s="8"/>
      <c r="G79" s="8"/>
      <c r="H79" s="8"/>
      <c r="I79" s="8">
        <v>81</v>
      </c>
      <c r="J79" s="8"/>
      <c r="K79" s="8"/>
      <c r="L79" s="11"/>
    </row>
    <row r="80" spans="1:12" x14ac:dyDescent="0.25">
      <c r="A80" s="7" t="s">
        <v>227</v>
      </c>
      <c r="B80" s="7" t="s">
        <v>228</v>
      </c>
      <c r="C80" s="7" t="s">
        <v>205</v>
      </c>
      <c r="D80" s="4"/>
      <c r="E80" s="4">
        <v>74</v>
      </c>
      <c r="F80" s="4">
        <v>100</v>
      </c>
      <c r="G80" s="4">
        <v>66</v>
      </c>
      <c r="H80" s="4">
        <v>69</v>
      </c>
      <c r="I80" s="4">
        <v>32</v>
      </c>
      <c r="J80" s="4">
        <v>73</v>
      </c>
      <c r="K80" s="4">
        <v>96</v>
      </c>
      <c r="L80" s="11"/>
    </row>
    <row r="81" spans="1:12" x14ac:dyDescent="0.25">
      <c r="A81" s="7" t="s">
        <v>229</v>
      </c>
      <c r="B81" s="7" t="s">
        <v>230</v>
      </c>
      <c r="C81" s="7" t="s">
        <v>205</v>
      </c>
      <c r="D81" s="4"/>
      <c r="E81" s="4">
        <v>86</v>
      </c>
      <c r="F81" s="4">
        <v>100</v>
      </c>
      <c r="G81" s="4">
        <v>98</v>
      </c>
      <c r="H81" s="4">
        <v>57</v>
      </c>
      <c r="I81" s="4">
        <v>27</v>
      </c>
      <c r="J81" s="4">
        <v>87</v>
      </c>
      <c r="K81" s="4">
        <v>57</v>
      </c>
      <c r="L81" s="11"/>
    </row>
    <row r="82" spans="1:12" x14ac:dyDescent="0.25">
      <c r="A82" s="7" t="s">
        <v>231</v>
      </c>
      <c r="B82" s="7" t="s">
        <v>232</v>
      </c>
      <c r="C82" s="7" t="s">
        <v>205</v>
      </c>
      <c r="D82" s="4"/>
      <c r="E82" s="4">
        <v>88</v>
      </c>
      <c r="F82" s="4">
        <v>100</v>
      </c>
      <c r="G82" s="4">
        <v>59</v>
      </c>
      <c r="H82" s="4">
        <v>100</v>
      </c>
      <c r="I82" s="4">
        <v>20</v>
      </c>
      <c r="J82" s="4">
        <v>75</v>
      </c>
      <c r="K82" s="4">
        <v>87</v>
      </c>
      <c r="L82" s="11"/>
    </row>
    <row r="83" spans="1:12" x14ac:dyDescent="0.25">
      <c r="A83" s="7" t="s">
        <v>233</v>
      </c>
      <c r="B83" s="7" t="s">
        <v>234</v>
      </c>
      <c r="C83" s="7" t="s">
        <v>205</v>
      </c>
      <c r="D83" s="4"/>
      <c r="E83" s="4">
        <v>45</v>
      </c>
      <c r="F83" s="4">
        <v>56</v>
      </c>
      <c r="G83" s="4"/>
      <c r="H83" s="4"/>
      <c r="I83" s="4">
        <v>33</v>
      </c>
      <c r="J83" s="4">
        <v>60</v>
      </c>
      <c r="K83" s="4">
        <v>89</v>
      </c>
      <c r="L83" s="11"/>
    </row>
    <row r="84" spans="1:12" x14ac:dyDescent="0.25">
      <c r="A84" s="7" t="s">
        <v>235</v>
      </c>
      <c r="B84" s="7" t="s">
        <v>236</v>
      </c>
      <c r="C84" s="7" t="s">
        <v>205</v>
      </c>
      <c r="D84" s="4"/>
      <c r="E84" s="4">
        <v>87</v>
      </c>
      <c r="F84" s="4">
        <v>100</v>
      </c>
      <c r="G84" s="4">
        <v>84</v>
      </c>
      <c r="H84" s="4">
        <v>98</v>
      </c>
      <c r="I84" s="4">
        <v>11</v>
      </c>
      <c r="J84" s="4">
        <v>71</v>
      </c>
      <c r="K84" s="4">
        <v>100</v>
      </c>
      <c r="L84" s="11"/>
    </row>
    <row r="85" spans="1:12" x14ac:dyDescent="0.25">
      <c r="A85" s="7" t="s">
        <v>237</v>
      </c>
      <c r="B85" s="7" t="s">
        <v>238</v>
      </c>
      <c r="C85" s="7" t="s">
        <v>205</v>
      </c>
      <c r="D85" s="4"/>
      <c r="E85" s="4">
        <v>96</v>
      </c>
      <c r="F85" s="4">
        <v>100</v>
      </c>
      <c r="G85" s="4">
        <v>98</v>
      </c>
      <c r="H85" s="4">
        <v>41</v>
      </c>
      <c r="I85" s="4">
        <v>31</v>
      </c>
      <c r="J85" s="4">
        <v>76</v>
      </c>
      <c r="K85" s="4">
        <v>80</v>
      </c>
      <c r="L85" s="1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5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3" customWidth="1"/>
    <col min="2" max="2" width="26" customWidth="1"/>
    <col min="3" max="4" width="7" customWidth="1"/>
    <col min="5" max="5" width="10" customWidth="1"/>
    <col min="6" max="7" width="13" customWidth="1"/>
    <col min="8" max="14" width="10" customWidth="1"/>
  </cols>
  <sheetData>
    <row r="1" spans="1:14" ht="34.950000000000003" customHeight="1" x14ac:dyDescent="0.25">
      <c r="A1" s="5" t="s">
        <v>60</v>
      </c>
      <c r="B1" s="5" t="s">
        <v>61</v>
      </c>
      <c r="C1" s="5" t="s">
        <v>62</v>
      </c>
      <c r="D1" s="5" t="s">
        <v>63</v>
      </c>
      <c r="E1" s="5" t="s">
        <v>281</v>
      </c>
      <c r="F1" s="5" t="s">
        <v>282</v>
      </c>
      <c r="G1" s="5" t="s">
        <v>283</v>
      </c>
      <c r="H1" s="5" t="s">
        <v>14</v>
      </c>
      <c r="I1" s="5" t="s">
        <v>16</v>
      </c>
      <c r="J1" s="5" t="s">
        <v>242</v>
      </c>
      <c r="K1" s="5" t="s">
        <v>245</v>
      </c>
      <c r="L1" s="5" t="s">
        <v>240</v>
      </c>
      <c r="M1" s="5" t="s">
        <v>6</v>
      </c>
      <c r="N1" s="5" t="s">
        <v>10</v>
      </c>
    </row>
    <row r="2" spans="1:14" x14ac:dyDescent="0.25">
      <c r="A2" s="12" t="s">
        <v>104</v>
      </c>
      <c r="B2" s="13" t="s">
        <v>105</v>
      </c>
      <c r="C2" s="12" t="s">
        <v>72</v>
      </c>
      <c r="D2" s="12"/>
      <c r="E2" s="12">
        <v>43</v>
      </c>
      <c r="F2" s="12">
        <v>25.7</v>
      </c>
      <c r="G2" s="12" t="s">
        <v>37</v>
      </c>
      <c r="H2" s="12">
        <v>0</v>
      </c>
      <c r="I2" s="12">
        <v>0</v>
      </c>
      <c r="J2" s="12">
        <v>100</v>
      </c>
      <c r="K2" s="12">
        <v>60</v>
      </c>
      <c r="L2" s="12">
        <v>35</v>
      </c>
      <c r="M2" s="12">
        <v>25</v>
      </c>
      <c r="N2" s="12">
        <v>25</v>
      </c>
    </row>
    <row r="3" spans="1:14" x14ac:dyDescent="0.25">
      <c r="A3" s="12" t="s">
        <v>102</v>
      </c>
      <c r="B3" s="13" t="s">
        <v>103</v>
      </c>
      <c r="C3" s="12" t="s">
        <v>72</v>
      </c>
      <c r="D3" s="12"/>
      <c r="E3" s="12">
        <v>53</v>
      </c>
      <c r="F3" s="12">
        <v>27.1</v>
      </c>
      <c r="G3" s="12" t="s">
        <v>37</v>
      </c>
      <c r="H3" s="12">
        <v>0</v>
      </c>
      <c r="I3" s="12">
        <v>0</v>
      </c>
      <c r="J3" s="12">
        <v>100</v>
      </c>
      <c r="K3" s="12">
        <v>60</v>
      </c>
      <c r="L3" s="12">
        <v>70</v>
      </c>
      <c r="M3" s="12">
        <v>25</v>
      </c>
      <c r="N3" s="12">
        <v>25</v>
      </c>
    </row>
    <row r="4" spans="1:14" x14ac:dyDescent="0.25">
      <c r="A4" s="12" t="s">
        <v>94</v>
      </c>
      <c r="B4" s="13" t="s">
        <v>95</v>
      </c>
      <c r="C4" s="12" t="s">
        <v>72</v>
      </c>
      <c r="D4" s="12"/>
      <c r="E4" s="12">
        <v>49</v>
      </c>
      <c r="F4" s="12">
        <v>30.1</v>
      </c>
      <c r="G4" s="12" t="s">
        <v>37</v>
      </c>
      <c r="H4" s="12">
        <v>0</v>
      </c>
      <c r="I4" s="12">
        <v>0</v>
      </c>
      <c r="J4" s="12">
        <v>100</v>
      </c>
      <c r="K4" s="12">
        <v>50</v>
      </c>
      <c r="L4" s="12">
        <v>85</v>
      </c>
      <c r="M4" s="12">
        <v>50</v>
      </c>
      <c r="N4" s="12">
        <v>25</v>
      </c>
    </row>
    <row r="5" spans="1:14" x14ac:dyDescent="0.25">
      <c r="A5" s="12"/>
      <c r="B5" s="13" t="s">
        <v>195</v>
      </c>
      <c r="C5" s="12" t="s">
        <v>162</v>
      </c>
      <c r="D5" s="12"/>
      <c r="E5" s="12">
        <v>55</v>
      </c>
      <c r="F5" s="12">
        <v>30.9</v>
      </c>
      <c r="G5" s="12" t="s">
        <v>37</v>
      </c>
      <c r="H5" s="12">
        <v>0</v>
      </c>
      <c r="I5" s="12">
        <v>0</v>
      </c>
      <c r="J5" s="12">
        <v>100</v>
      </c>
      <c r="K5" s="12">
        <v>80</v>
      </c>
      <c r="L5" s="12">
        <v>35</v>
      </c>
      <c r="M5" s="12">
        <v>50</v>
      </c>
      <c r="N5" s="12">
        <v>25</v>
      </c>
    </row>
    <row r="6" spans="1:14" x14ac:dyDescent="0.25">
      <c r="A6" s="12" t="s">
        <v>136</v>
      </c>
      <c r="B6" s="13" t="s">
        <v>137</v>
      </c>
      <c r="C6" s="12" t="s">
        <v>123</v>
      </c>
      <c r="D6" s="12"/>
      <c r="E6" s="12">
        <v>27</v>
      </c>
      <c r="F6" s="12">
        <v>31.1</v>
      </c>
      <c r="G6" s="12" t="s">
        <v>37</v>
      </c>
      <c r="H6" s="12">
        <v>0</v>
      </c>
      <c r="I6" s="12">
        <v>100</v>
      </c>
      <c r="J6" s="12">
        <v>100</v>
      </c>
      <c r="K6" s="12">
        <v>60</v>
      </c>
      <c r="L6" s="12">
        <v>65</v>
      </c>
      <c r="M6" s="12">
        <v>25</v>
      </c>
      <c r="N6" s="12">
        <v>25</v>
      </c>
    </row>
    <row r="7" spans="1:14" x14ac:dyDescent="0.25">
      <c r="A7" s="12" t="s">
        <v>78</v>
      </c>
      <c r="B7" s="13" t="s">
        <v>79</v>
      </c>
      <c r="C7" s="12" t="s">
        <v>72</v>
      </c>
      <c r="D7" s="12"/>
      <c r="E7" s="12">
        <v>49</v>
      </c>
      <c r="F7" s="12">
        <v>32.4</v>
      </c>
      <c r="G7" s="12" t="s">
        <v>37</v>
      </c>
      <c r="H7" s="12">
        <v>0</v>
      </c>
      <c r="I7" s="12">
        <v>0</v>
      </c>
      <c r="J7" s="12">
        <v>100</v>
      </c>
      <c r="K7" s="12">
        <v>60</v>
      </c>
      <c r="L7" s="12">
        <v>85</v>
      </c>
      <c r="M7" s="12">
        <v>50</v>
      </c>
      <c r="N7" s="12">
        <v>25</v>
      </c>
    </row>
    <row r="8" spans="1:14" x14ac:dyDescent="0.25">
      <c r="A8" s="12" t="s">
        <v>126</v>
      </c>
      <c r="B8" s="13" t="s">
        <v>127</v>
      </c>
      <c r="C8" s="12" t="s">
        <v>123</v>
      </c>
      <c r="D8" s="12"/>
      <c r="E8" s="12">
        <v>58</v>
      </c>
      <c r="F8" s="12">
        <v>34.700000000000003</v>
      </c>
      <c r="G8" s="12" t="s">
        <v>37</v>
      </c>
      <c r="H8" s="12">
        <v>0</v>
      </c>
      <c r="I8" s="12">
        <v>98</v>
      </c>
      <c r="J8" s="12">
        <v>100</v>
      </c>
      <c r="K8" s="12">
        <v>60</v>
      </c>
      <c r="L8" s="12">
        <v>70</v>
      </c>
      <c r="M8" s="12">
        <v>50</v>
      </c>
      <c r="N8" s="12">
        <v>25</v>
      </c>
    </row>
    <row r="9" spans="1:14" x14ac:dyDescent="0.25">
      <c r="A9" s="12" t="s">
        <v>165</v>
      </c>
      <c r="B9" s="13" t="s">
        <v>166</v>
      </c>
      <c r="C9" s="12" t="s">
        <v>162</v>
      </c>
      <c r="D9" s="12"/>
      <c r="E9" s="12">
        <v>15</v>
      </c>
      <c r="F9" s="12">
        <v>37.6</v>
      </c>
      <c r="G9" s="12" t="s">
        <v>37</v>
      </c>
      <c r="H9" s="12">
        <v>0</v>
      </c>
      <c r="I9" s="12">
        <v>0</v>
      </c>
      <c r="J9" s="12">
        <v>100</v>
      </c>
      <c r="K9" s="12">
        <v>60</v>
      </c>
      <c r="L9" s="12">
        <v>85</v>
      </c>
      <c r="M9" s="12">
        <v>90</v>
      </c>
      <c r="N9" s="12">
        <v>25</v>
      </c>
    </row>
    <row r="10" spans="1:14" x14ac:dyDescent="0.25">
      <c r="A10" s="12" t="s">
        <v>173</v>
      </c>
      <c r="B10" s="13" t="s">
        <v>174</v>
      </c>
      <c r="C10" s="12" t="s">
        <v>162</v>
      </c>
      <c r="D10" s="12"/>
      <c r="E10" s="12">
        <v>19</v>
      </c>
      <c r="F10" s="12">
        <v>37.9</v>
      </c>
      <c r="G10" s="12" t="s">
        <v>37</v>
      </c>
      <c r="H10" s="12">
        <v>5</v>
      </c>
      <c r="I10" s="12">
        <v>0</v>
      </c>
      <c r="J10" s="12">
        <v>100</v>
      </c>
      <c r="K10" s="12">
        <v>60</v>
      </c>
      <c r="L10" s="12">
        <v>85</v>
      </c>
      <c r="M10" s="12">
        <v>90</v>
      </c>
      <c r="N10" s="12">
        <v>25</v>
      </c>
    </row>
    <row r="11" spans="1:14" x14ac:dyDescent="0.25">
      <c r="A11" s="12" t="s">
        <v>158</v>
      </c>
      <c r="B11" s="13" t="s">
        <v>159</v>
      </c>
      <c r="C11" s="12" t="s">
        <v>123</v>
      </c>
      <c r="D11" s="12"/>
      <c r="E11" s="12">
        <v>65</v>
      </c>
      <c r="F11" s="12">
        <v>38.9</v>
      </c>
      <c r="G11" s="12" t="s">
        <v>37</v>
      </c>
      <c r="H11" s="12">
        <v>0</v>
      </c>
      <c r="I11" s="12">
        <v>0</v>
      </c>
      <c r="J11" s="12">
        <v>100</v>
      </c>
      <c r="K11" s="12">
        <v>65</v>
      </c>
      <c r="L11" s="12">
        <v>85</v>
      </c>
      <c r="M11" s="12">
        <v>70</v>
      </c>
      <c r="N11" s="12">
        <v>50</v>
      </c>
    </row>
    <row r="12" spans="1:14" x14ac:dyDescent="0.25">
      <c r="A12" s="12" t="s">
        <v>163</v>
      </c>
      <c r="B12" s="13" t="s">
        <v>164</v>
      </c>
      <c r="C12" s="12" t="s">
        <v>162</v>
      </c>
      <c r="D12" s="12"/>
      <c r="E12" s="12">
        <v>25</v>
      </c>
      <c r="F12" s="12">
        <v>40.6</v>
      </c>
      <c r="G12" s="12" t="s">
        <v>37</v>
      </c>
      <c r="H12" s="12">
        <v>0</v>
      </c>
      <c r="I12" s="12">
        <v>100</v>
      </c>
      <c r="J12" s="12">
        <v>100</v>
      </c>
      <c r="K12" s="12">
        <v>65</v>
      </c>
      <c r="L12" s="12">
        <v>85</v>
      </c>
      <c r="M12" s="12">
        <v>70</v>
      </c>
      <c r="N12" s="12">
        <v>25</v>
      </c>
    </row>
    <row r="13" spans="1:14" x14ac:dyDescent="0.25">
      <c r="A13" s="12" t="s">
        <v>171</v>
      </c>
      <c r="B13" s="13" t="s">
        <v>172</v>
      </c>
      <c r="C13" s="12" t="s">
        <v>162</v>
      </c>
      <c r="D13" s="12"/>
      <c r="E13" s="12">
        <v>16</v>
      </c>
      <c r="F13" s="12">
        <v>42.6</v>
      </c>
      <c r="G13" s="12" t="s">
        <v>37</v>
      </c>
      <c r="H13" s="12">
        <v>0</v>
      </c>
      <c r="I13" s="12">
        <v>100</v>
      </c>
      <c r="J13" s="12">
        <v>100</v>
      </c>
      <c r="K13" s="12">
        <v>60</v>
      </c>
      <c r="L13" s="12">
        <v>85</v>
      </c>
      <c r="M13" s="12">
        <v>90</v>
      </c>
      <c r="N13" s="12">
        <v>25</v>
      </c>
    </row>
    <row r="14" spans="1:14" x14ac:dyDescent="0.25">
      <c r="A14" s="12" t="s">
        <v>96</v>
      </c>
      <c r="B14" s="13" t="s">
        <v>97</v>
      </c>
      <c r="C14" s="12" t="s">
        <v>72</v>
      </c>
      <c r="D14" s="12"/>
      <c r="E14" s="12">
        <v>66</v>
      </c>
      <c r="F14" s="12">
        <v>43.3</v>
      </c>
      <c r="G14" s="12" t="s">
        <v>37</v>
      </c>
      <c r="H14" s="12">
        <v>0</v>
      </c>
      <c r="I14" s="12">
        <v>100</v>
      </c>
      <c r="J14" s="12">
        <v>100</v>
      </c>
      <c r="K14" s="12">
        <v>80</v>
      </c>
      <c r="L14" s="12">
        <v>85</v>
      </c>
      <c r="M14" s="12">
        <v>50</v>
      </c>
      <c r="N14" s="12">
        <v>50</v>
      </c>
    </row>
    <row r="15" spans="1:14" x14ac:dyDescent="0.25">
      <c r="A15" s="12" t="s">
        <v>96</v>
      </c>
      <c r="B15" s="13" t="s">
        <v>97</v>
      </c>
      <c r="C15" s="12" t="s">
        <v>123</v>
      </c>
      <c r="D15" s="12"/>
      <c r="E15" s="12">
        <v>66</v>
      </c>
      <c r="F15" s="12">
        <v>43.3</v>
      </c>
      <c r="G15" s="12" t="s">
        <v>37</v>
      </c>
      <c r="H15" s="12">
        <v>0</v>
      </c>
      <c r="I15" s="12">
        <v>100</v>
      </c>
      <c r="J15" s="12">
        <v>100</v>
      </c>
      <c r="K15" s="12">
        <v>80</v>
      </c>
      <c r="L15" s="12">
        <v>85</v>
      </c>
      <c r="M15" s="12">
        <v>50</v>
      </c>
      <c r="N15" s="12">
        <v>50</v>
      </c>
    </row>
    <row r="16" spans="1:14" x14ac:dyDescent="0.25">
      <c r="A16" s="12"/>
      <c r="B16" s="13" t="s">
        <v>193</v>
      </c>
      <c r="C16" s="12" t="s">
        <v>162</v>
      </c>
      <c r="D16" s="12"/>
      <c r="E16" s="12">
        <v>99</v>
      </c>
      <c r="F16" s="12">
        <v>44.1</v>
      </c>
      <c r="G16" s="12" t="s">
        <v>37</v>
      </c>
      <c r="H16" s="12" t="s">
        <v>27</v>
      </c>
      <c r="I16" s="12">
        <v>0</v>
      </c>
      <c r="J16" s="12" t="s">
        <v>27</v>
      </c>
      <c r="K16" s="12">
        <v>60</v>
      </c>
      <c r="L16" s="12">
        <v>65</v>
      </c>
      <c r="M16" s="12">
        <v>50</v>
      </c>
      <c r="N16" s="12">
        <v>100</v>
      </c>
    </row>
    <row r="17" spans="1:14" x14ac:dyDescent="0.25">
      <c r="A17" s="12"/>
      <c r="B17" s="13" t="s">
        <v>86</v>
      </c>
      <c r="C17" s="12" t="s">
        <v>72</v>
      </c>
      <c r="D17" s="12" t="s">
        <v>284</v>
      </c>
      <c r="E17" s="12">
        <v>48</v>
      </c>
      <c r="F17" s="12">
        <v>44.8</v>
      </c>
      <c r="G17" s="12" t="s">
        <v>37</v>
      </c>
      <c r="H17" s="12">
        <v>80</v>
      </c>
      <c r="I17" s="12" t="s">
        <v>27</v>
      </c>
      <c r="J17" s="12" t="s">
        <v>27</v>
      </c>
      <c r="K17" s="12">
        <v>60</v>
      </c>
      <c r="L17" s="12">
        <v>35</v>
      </c>
      <c r="M17" s="12">
        <v>50</v>
      </c>
      <c r="N17" s="12">
        <v>25</v>
      </c>
    </row>
    <row r="18" spans="1:14" x14ac:dyDescent="0.25">
      <c r="A18" s="14" t="s">
        <v>233</v>
      </c>
      <c r="B18" s="15" t="s">
        <v>234</v>
      </c>
      <c r="C18" s="14" t="s">
        <v>205</v>
      </c>
      <c r="D18" s="14"/>
      <c r="E18" s="14">
        <v>28</v>
      </c>
      <c r="F18" s="14">
        <v>45.4</v>
      </c>
      <c r="G18" s="14" t="s">
        <v>39</v>
      </c>
      <c r="H18" s="14">
        <v>100</v>
      </c>
      <c r="I18" s="14">
        <v>100</v>
      </c>
      <c r="J18" s="14">
        <v>100</v>
      </c>
      <c r="K18" s="14">
        <v>30</v>
      </c>
      <c r="L18" s="14">
        <v>65</v>
      </c>
      <c r="M18" s="14">
        <v>25</v>
      </c>
      <c r="N18" s="14">
        <v>25</v>
      </c>
    </row>
    <row r="19" spans="1:14" x14ac:dyDescent="0.25">
      <c r="A19" s="14" t="s">
        <v>187</v>
      </c>
      <c r="B19" s="15" t="s">
        <v>188</v>
      </c>
      <c r="C19" s="14" t="s">
        <v>162</v>
      </c>
      <c r="D19" s="14"/>
      <c r="E19" s="14">
        <v>55</v>
      </c>
      <c r="F19" s="14">
        <v>46</v>
      </c>
      <c r="G19" s="14" t="s">
        <v>39</v>
      </c>
      <c r="H19" s="14">
        <v>40</v>
      </c>
      <c r="I19" s="14">
        <v>98</v>
      </c>
      <c r="J19" s="14">
        <v>100</v>
      </c>
      <c r="K19" s="14">
        <v>30</v>
      </c>
      <c r="L19" s="14">
        <v>85</v>
      </c>
      <c r="M19" s="14">
        <v>50</v>
      </c>
      <c r="N19" s="14">
        <v>25</v>
      </c>
    </row>
    <row r="20" spans="1:14" x14ac:dyDescent="0.25">
      <c r="A20" s="14" t="s">
        <v>100</v>
      </c>
      <c r="B20" s="15" t="s">
        <v>101</v>
      </c>
      <c r="C20" s="14" t="s">
        <v>72</v>
      </c>
      <c r="D20" s="14"/>
      <c r="E20" s="14">
        <v>63</v>
      </c>
      <c r="F20" s="14">
        <v>48.1</v>
      </c>
      <c r="G20" s="14" t="s">
        <v>39</v>
      </c>
      <c r="H20" s="14">
        <v>100</v>
      </c>
      <c r="I20" s="14">
        <v>80</v>
      </c>
      <c r="J20" s="14">
        <v>100</v>
      </c>
      <c r="K20" s="14">
        <v>30</v>
      </c>
      <c r="L20" s="14">
        <v>85</v>
      </c>
      <c r="M20" s="14">
        <v>50</v>
      </c>
      <c r="N20" s="14">
        <v>25</v>
      </c>
    </row>
    <row r="21" spans="1:14" x14ac:dyDescent="0.25">
      <c r="A21" s="14" t="s">
        <v>167</v>
      </c>
      <c r="B21" s="15" t="s">
        <v>168</v>
      </c>
      <c r="C21" s="14" t="s">
        <v>162</v>
      </c>
      <c r="D21" s="14"/>
      <c r="E21" s="14">
        <v>51</v>
      </c>
      <c r="F21" s="14">
        <v>48.8</v>
      </c>
      <c r="G21" s="14" t="s">
        <v>39</v>
      </c>
      <c r="H21" s="14">
        <v>95</v>
      </c>
      <c r="I21" s="14">
        <v>98</v>
      </c>
      <c r="J21" s="14">
        <v>100</v>
      </c>
      <c r="K21" s="14">
        <v>30</v>
      </c>
      <c r="L21" s="14">
        <v>85</v>
      </c>
      <c r="M21" s="14">
        <v>50</v>
      </c>
      <c r="N21" s="14">
        <v>25</v>
      </c>
    </row>
    <row r="22" spans="1:14" x14ac:dyDescent="0.25">
      <c r="A22" s="14" t="s">
        <v>76</v>
      </c>
      <c r="B22" s="15" t="s">
        <v>77</v>
      </c>
      <c r="C22" s="14" t="s">
        <v>72</v>
      </c>
      <c r="D22" s="14"/>
      <c r="E22" s="14">
        <v>52</v>
      </c>
      <c r="F22" s="14">
        <v>49</v>
      </c>
      <c r="G22" s="14" t="s">
        <v>39</v>
      </c>
      <c r="H22" s="14">
        <v>100</v>
      </c>
      <c r="I22" s="14">
        <v>98</v>
      </c>
      <c r="J22" s="14">
        <v>100</v>
      </c>
      <c r="K22" s="14">
        <v>30</v>
      </c>
      <c r="L22" s="14">
        <v>85</v>
      </c>
      <c r="M22" s="14">
        <v>50</v>
      </c>
      <c r="N22" s="14">
        <v>25</v>
      </c>
    </row>
    <row r="23" spans="1:14" x14ac:dyDescent="0.25">
      <c r="A23" s="14" t="s">
        <v>148</v>
      </c>
      <c r="B23" s="15" t="s">
        <v>149</v>
      </c>
      <c r="C23" s="14" t="s">
        <v>123</v>
      </c>
      <c r="D23" s="14"/>
      <c r="E23" s="14">
        <v>64</v>
      </c>
      <c r="F23" s="14">
        <v>50.9</v>
      </c>
      <c r="G23" s="14" t="s">
        <v>39</v>
      </c>
      <c r="H23" s="14">
        <v>40</v>
      </c>
      <c r="I23" s="14">
        <v>100</v>
      </c>
      <c r="J23" s="14">
        <v>100</v>
      </c>
      <c r="K23" s="14">
        <v>50</v>
      </c>
      <c r="L23" s="14">
        <v>85</v>
      </c>
      <c r="M23" s="14">
        <v>50</v>
      </c>
      <c r="N23" s="14">
        <v>25</v>
      </c>
    </row>
    <row r="24" spans="1:14" x14ac:dyDescent="0.25">
      <c r="A24" s="14" t="s">
        <v>177</v>
      </c>
      <c r="B24" s="15" t="s">
        <v>178</v>
      </c>
      <c r="C24" s="14" t="s">
        <v>162</v>
      </c>
      <c r="D24" s="14"/>
      <c r="E24" s="14">
        <v>36</v>
      </c>
      <c r="F24" s="14">
        <v>51.9</v>
      </c>
      <c r="G24" s="14" t="s">
        <v>39</v>
      </c>
      <c r="H24" s="14">
        <v>95</v>
      </c>
      <c r="I24" s="14">
        <v>100</v>
      </c>
      <c r="J24" s="14">
        <v>100</v>
      </c>
      <c r="K24" s="14">
        <v>30</v>
      </c>
      <c r="L24" s="14">
        <v>85</v>
      </c>
      <c r="M24" s="14">
        <v>70</v>
      </c>
      <c r="N24" s="14">
        <v>25</v>
      </c>
    </row>
    <row r="25" spans="1:14" x14ac:dyDescent="0.25">
      <c r="A25" s="14" t="s">
        <v>90</v>
      </c>
      <c r="B25" s="15" t="s">
        <v>91</v>
      </c>
      <c r="C25" s="14" t="s">
        <v>72</v>
      </c>
      <c r="D25" s="14"/>
      <c r="E25" s="14">
        <v>59</v>
      </c>
      <c r="F25" s="14">
        <v>52</v>
      </c>
      <c r="G25" s="14" t="s">
        <v>39</v>
      </c>
      <c r="H25" s="14">
        <v>100</v>
      </c>
      <c r="I25" s="14">
        <v>98</v>
      </c>
      <c r="J25" s="14">
        <v>100</v>
      </c>
      <c r="K25" s="14">
        <v>30</v>
      </c>
      <c r="L25" s="14">
        <v>85</v>
      </c>
      <c r="M25" s="14">
        <v>70</v>
      </c>
      <c r="N25" s="14">
        <v>25</v>
      </c>
    </row>
    <row r="26" spans="1:14" x14ac:dyDescent="0.25">
      <c r="A26" s="14" t="s">
        <v>80</v>
      </c>
      <c r="B26" s="15" t="s">
        <v>81</v>
      </c>
      <c r="C26" s="14" t="s">
        <v>72</v>
      </c>
      <c r="D26" s="14"/>
      <c r="E26" s="14">
        <v>86</v>
      </c>
      <c r="F26" s="14">
        <v>52.8</v>
      </c>
      <c r="G26" s="14" t="s">
        <v>39</v>
      </c>
      <c r="H26" s="14">
        <v>0</v>
      </c>
      <c r="I26" s="14">
        <v>80</v>
      </c>
      <c r="J26" s="14">
        <v>100</v>
      </c>
      <c r="K26" s="14">
        <v>90</v>
      </c>
      <c r="L26" s="14">
        <v>85</v>
      </c>
      <c r="M26" s="14">
        <v>50</v>
      </c>
      <c r="N26" s="14">
        <v>100</v>
      </c>
    </row>
    <row r="27" spans="1:14" x14ac:dyDescent="0.25">
      <c r="A27" s="14" t="s">
        <v>111</v>
      </c>
      <c r="B27" s="15" t="s">
        <v>112</v>
      </c>
      <c r="C27" s="14" t="s">
        <v>110</v>
      </c>
      <c r="D27" s="14" t="s">
        <v>284</v>
      </c>
      <c r="E27" s="14">
        <v>54</v>
      </c>
      <c r="F27" s="14">
        <v>53.1</v>
      </c>
      <c r="G27" s="14" t="s">
        <v>39</v>
      </c>
      <c r="H27" s="14">
        <v>80</v>
      </c>
      <c r="I27" s="14" t="s">
        <v>27</v>
      </c>
      <c r="J27" s="14">
        <v>100</v>
      </c>
      <c r="K27" s="14">
        <v>60</v>
      </c>
      <c r="L27" s="14">
        <v>70</v>
      </c>
      <c r="M27" s="14">
        <v>25</v>
      </c>
      <c r="N27" s="14">
        <v>25</v>
      </c>
    </row>
    <row r="28" spans="1:14" x14ac:dyDescent="0.25">
      <c r="A28" s="14" t="s">
        <v>106</v>
      </c>
      <c r="B28" s="15" t="s">
        <v>107</v>
      </c>
      <c r="C28" s="14" t="s">
        <v>72</v>
      </c>
      <c r="D28" s="14"/>
      <c r="E28" s="14">
        <v>94</v>
      </c>
      <c r="F28" s="14">
        <v>54.2</v>
      </c>
      <c r="G28" s="14" t="s">
        <v>39</v>
      </c>
      <c r="H28" s="14">
        <v>0</v>
      </c>
      <c r="I28" s="14">
        <v>100</v>
      </c>
      <c r="J28" s="14" t="s">
        <v>27</v>
      </c>
      <c r="K28" s="14">
        <v>80</v>
      </c>
      <c r="L28" s="14">
        <v>90</v>
      </c>
      <c r="M28" s="14">
        <v>70</v>
      </c>
      <c r="N28" s="14">
        <v>100</v>
      </c>
    </row>
    <row r="29" spans="1:14" x14ac:dyDescent="0.25">
      <c r="A29" s="14" t="s">
        <v>146</v>
      </c>
      <c r="B29" s="15" t="s">
        <v>147</v>
      </c>
      <c r="C29" s="14" t="s">
        <v>123</v>
      </c>
      <c r="D29" s="14"/>
      <c r="E29" s="14">
        <v>76</v>
      </c>
      <c r="F29" s="14">
        <v>56.3</v>
      </c>
      <c r="G29" s="14" t="s">
        <v>39</v>
      </c>
      <c r="H29" s="14">
        <v>0</v>
      </c>
      <c r="I29" s="14">
        <v>100</v>
      </c>
      <c r="J29" s="14">
        <v>100</v>
      </c>
      <c r="K29" s="14">
        <v>80</v>
      </c>
      <c r="L29" s="14">
        <v>80</v>
      </c>
      <c r="M29" s="14">
        <v>90</v>
      </c>
      <c r="N29" s="14">
        <v>85</v>
      </c>
    </row>
    <row r="30" spans="1:14" x14ac:dyDescent="0.25">
      <c r="A30" s="14" t="s">
        <v>115</v>
      </c>
      <c r="B30" s="15" t="s">
        <v>116</v>
      </c>
      <c r="C30" s="14" t="s">
        <v>110</v>
      </c>
      <c r="D30" s="14" t="s">
        <v>284</v>
      </c>
      <c r="E30" s="14">
        <v>39</v>
      </c>
      <c r="F30" s="14">
        <v>57.4</v>
      </c>
      <c r="G30" s="14" t="s">
        <v>39</v>
      </c>
      <c r="H30" s="14">
        <v>80</v>
      </c>
      <c r="I30" s="14" t="s">
        <v>27</v>
      </c>
      <c r="J30" s="14">
        <v>100</v>
      </c>
      <c r="K30" s="14">
        <v>60</v>
      </c>
      <c r="L30" s="14">
        <v>55</v>
      </c>
      <c r="M30" s="14">
        <v>70</v>
      </c>
      <c r="N30" s="14">
        <v>25</v>
      </c>
    </row>
    <row r="31" spans="1:14" x14ac:dyDescent="0.25">
      <c r="A31" s="14" t="s">
        <v>189</v>
      </c>
      <c r="B31" s="15" t="s">
        <v>190</v>
      </c>
      <c r="C31" s="14" t="s">
        <v>162</v>
      </c>
      <c r="D31" s="14" t="s">
        <v>284</v>
      </c>
      <c r="E31" s="14">
        <v>55</v>
      </c>
      <c r="F31" s="14">
        <v>57.7</v>
      </c>
      <c r="G31" s="14" t="s">
        <v>39</v>
      </c>
      <c r="H31" s="14">
        <v>80</v>
      </c>
      <c r="I31" s="14">
        <v>80</v>
      </c>
      <c r="J31" s="14">
        <v>100</v>
      </c>
      <c r="K31" s="14">
        <v>60</v>
      </c>
      <c r="L31" s="14">
        <v>85</v>
      </c>
      <c r="M31" s="14">
        <v>50</v>
      </c>
      <c r="N31" s="14">
        <v>25</v>
      </c>
    </row>
    <row r="32" spans="1:14" x14ac:dyDescent="0.25">
      <c r="A32" s="14" t="s">
        <v>82</v>
      </c>
      <c r="B32" s="15" t="s">
        <v>83</v>
      </c>
      <c r="C32" s="14" t="s">
        <v>72</v>
      </c>
      <c r="D32" s="14"/>
      <c r="E32" s="14">
        <v>59</v>
      </c>
      <c r="F32" s="14">
        <v>58.3</v>
      </c>
      <c r="G32" s="14" t="s">
        <v>39</v>
      </c>
      <c r="H32" s="14">
        <v>70</v>
      </c>
      <c r="I32" s="14">
        <v>98</v>
      </c>
      <c r="J32" s="14">
        <v>100</v>
      </c>
      <c r="K32" s="14">
        <v>65</v>
      </c>
      <c r="L32" s="14">
        <v>55</v>
      </c>
      <c r="M32" s="14">
        <v>70</v>
      </c>
      <c r="N32" s="14">
        <v>25</v>
      </c>
    </row>
    <row r="33" spans="1:14" x14ac:dyDescent="0.25">
      <c r="A33" s="14" t="s">
        <v>222</v>
      </c>
      <c r="B33" s="15" t="s">
        <v>223</v>
      </c>
      <c r="C33" s="14" t="s">
        <v>205</v>
      </c>
      <c r="D33" s="14"/>
      <c r="E33" s="14">
        <v>63</v>
      </c>
      <c r="F33" s="14">
        <v>59.4</v>
      </c>
      <c r="G33" s="14" t="s">
        <v>39</v>
      </c>
      <c r="H33" s="14">
        <v>100</v>
      </c>
      <c r="I33" s="14">
        <v>100</v>
      </c>
      <c r="J33" s="14">
        <v>100</v>
      </c>
      <c r="K33" s="14">
        <v>50</v>
      </c>
      <c r="L33" s="14">
        <v>90</v>
      </c>
      <c r="M33" s="14">
        <v>70</v>
      </c>
      <c r="N33" s="14">
        <v>25</v>
      </c>
    </row>
    <row r="34" spans="1:14" x14ac:dyDescent="0.25">
      <c r="A34" s="14" t="s">
        <v>237</v>
      </c>
      <c r="B34" s="15" t="s">
        <v>238</v>
      </c>
      <c r="C34" s="14" t="s">
        <v>205</v>
      </c>
      <c r="D34" s="14"/>
      <c r="E34" s="14">
        <v>69</v>
      </c>
      <c r="F34" s="14">
        <v>60.1</v>
      </c>
      <c r="G34" s="14" t="s">
        <v>39</v>
      </c>
      <c r="H34" s="14">
        <v>100</v>
      </c>
      <c r="I34" s="14">
        <v>100</v>
      </c>
      <c r="J34" s="14">
        <v>100</v>
      </c>
      <c r="K34" s="14">
        <v>90</v>
      </c>
      <c r="L34" s="14">
        <v>35</v>
      </c>
      <c r="M34" s="14">
        <v>70</v>
      </c>
      <c r="N34" s="14">
        <v>50</v>
      </c>
    </row>
    <row r="35" spans="1:14" x14ac:dyDescent="0.25">
      <c r="A35" s="14" t="s">
        <v>121</v>
      </c>
      <c r="B35" s="15" t="s">
        <v>122</v>
      </c>
      <c r="C35" s="14" t="s">
        <v>123</v>
      </c>
      <c r="D35" s="14"/>
      <c r="E35" s="14">
        <v>81</v>
      </c>
      <c r="F35" s="14">
        <v>60.6</v>
      </c>
      <c r="G35" s="14" t="s">
        <v>39</v>
      </c>
      <c r="H35" s="14">
        <v>100</v>
      </c>
      <c r="I35" s="14">
        <v>98</v>
      </c>
      <c r="J35" s="14" t="s">
        <v>27</v>
      </c>
      <c r="K35" s="14">
        <v>90</v>
      </c>
      <c r="L35" s="14">
        <v>35</v>
      </c>
      <c r="M35" s="14">
        <v>25</v>
      </c>
      <c r="N35" s="14">
        <v>100</v>
      </c>
    </row>
    <row r="36" spans="1:14" x14ac:dyDescent="0.25">
      <c r="A36" s="14" t="s">
        <v>119</v>
      </c>
      <c r="B36" s="15" t="s">
        <v>120</v>
      </c>
      <c r="C36" s="14" t="s">
        <v>110</v>
      </c>
      <c r="D36" s="14" t="s">
        <v>284</v>
      </c>
      <c r="E36" s="14">
        <v>29</v>
      </c>
      <c r="F36" s="14">
        <v>60.8</v>
      </c>
      <c r="G36" s="14" t="s">
        <v>39</v>
      </c>
      <c r="H36" s="14">
        <v>80</v>
      </c>
      <c r="I36" s="14" t="s">
        <v>27</v>
      </c>
      <c r="J36" s="14">
        <v>100</v>
      </c>
      <c r="K36" s="14">
        <v>60</v>
      </c>
      <c r="L36" s="14">
        <v>85</v>
      </c>
      <c r="M36" s="14">
        <v>70</v>
      </c>
      <c r="N36" s="14">
        <v>25</v>
      </c>
    </row>
    <row r="37" spans="1:14" x14ac:dyDescent="0.25">
      <c r="A37" s="14" t="s">
        <v>140</v>
      </c>
      <c r="B37" s="15" t="s">
        <v>141</v>
      </c>
      <c r="C37" s="14" t="s">
        <v>123</v>
      </c>
      <c r="D37" s="14"/>
      <c r="E37" s="14">
        <v>62</v>
      </c>
      <c r="F37" s="14">
        <v>61.1</v>
      </c>
      <c r="G37" s="14" t="s">
        <v>39</v>
      </c>
      <c r="H37" s="14">
        <v>100</v>
      </c>
      <c r="I37" s="14">
        <v>100</v>
      </c>
      <c r="J37" s="14" t="s">
        <v>27</v>
      </c>
      <c r="K37" s="14">
        <v>60</v>
      </c>
      <c r="L37" s="14">
        <v>90</v>
      </c>
      <c r="M37" s="14">
        <v>50</v>
      </c>
      <c r="N37" s="14">
        <v>25</v>
      </c>
    </row>
    <row r="38" spans="1:14" x14ac:dyDescent="0.25">
      <c r="A38" s="14" t="s">
        <v>191</v>
      </c>
      <c r="B38" s="15" t="s">
        <v>192</v>
      </c>
      <c r="C38" s="14" t="s">
        <v>162</v>
      </c>
      <c r="D38" s="14"/>
      <c r="E38" s="14">
        <v>71</v>
      </c>
      <c r="F38" s="14">
        <v>61.1</v>
      </c>
      <c r="G38" s="14" t="s">
        <v>39</v>
      </c>
      <c r="H38" s="14">
        <v>100</v>
      </c>
      <c r="I38" s="14">
        <v>100</v>
      </c>
      <c r="J38" s="14">
        <v>100</v>
      </c>
      <c r="K38" s="14">
        <v>30</v>
      </c>
      <c r="L38" s="14">
        <v>85</v>
      </c>
      <c r="M38" s="14">
        <v>70</v>
      </c>
      <c r="N38" s="14">
        <v>70</v>
      </c>
    </row>
    <row r="39" spans="1:14" x14ac:dyDescent="0.25">
      <c r="A39" s="14" t="s">
        <v>74</v>
      </c>
      <c r="B39" s="15" t="s">
        <v>75</v>
      </c>
      <c r="C39" s="14" t="s">
        <v>72</v>
      </c>
      <c r="D39" s="14"/>
      <c r="E39" s="14">
        <v>61</v>
      </c>
      <c r="F39" s="14">
        <v>61.4</v>
      </c>
      <c r="G39" s="14" t="s">
        <v>39</v>
      </c>
      <c r="H39" s="14">
        <v>100</v>
      </c>
      <c r="I39" s="14">
        <v>100</v>
      </c>
      <c r="J39" s="14">
        <v>100</v>
      </c>
      <c r="K39" s="14">
        <v>65</v>
      </c>
      <c r="L39" s="14">
        <v>85</v>
      </c>
      <c r="M39" s="14">
        <v>50</v>
      </c>
      <c r="N39" s="14">
        <v>25</v>
      </c>
    </row>
    <row r="40" spans="1:14" x14ac:dyDescent="0.25">
      <c r="A40" s="14" t="s">
        <v>150</v>
      </c>
      <c r="B40" s="15" t="s">
        <v>151</v>
      </c>
      <c r="C40" s="14" t="s">
        <v>123</v>
      </c>
      <c r="D40" s="14"/>
      <c r="E40" s="14">
        <v>58</v>
      </c>
      <c r="F40" s="14">
        <v>61.4</v>
      </c>
      <c r="G40" s="14" t="s">
        <v>39</v>
      </c>
      <c r="H40" s="14">
        <v>100</v>
      </c>
      <c r="I40" s="14">
        <v>100</v>
      </c>
      <c r="J40" s="14">
        <v>100</v>
      </c>
      <c r="K40" s="14">
        <v>65</v>
      </c>
      <c r="L40" s="14">
        <v>65</v>
      </c>
      <c r="M40" s="14">
        <v>50</v>
      </c>
      <c r="N40" s="14">
        <v>25</v>
      </c>
    </row>
    <row r="41" spans="1:14" x14ac:dyDescent="0.25">
      <c r="A41" s="14"/>
      <c r="B41" s="15" t="s">
        <v>226</v>
      </c>
      <c r="C41" s="14" t="s">
        <v>205</v>
      </c>
      <c r="D41" s="14" t="s">
        <v>284</v>
      </c>
      <c r="E41" s="14">
        <v>19</v>
      </c>
      <c r="F41" s="14">
        <v>61.6</v>
      </c>
      <c r="G41" s="14" t="s">
        <v>39</v>
      </c>
      <c r="H41" s="14">
        <v>80</v>
      </c>
      <c r="I41" s="14" t="s">
        <v>27</v>
      </c>
      <c r="J41" s="14" t="s">
        <v>27</v>
      </c>
      <c r="K41" s="14">
        <v>60</v>
      </c>
      <c r="L41" s="14">
        <v>65</v>
      </c>
      <c r="M41" s="14">
        <v>90</v>
      </c>
      <c r="N41" s="14">
        <v>25</v>
      </c>
    </row>
    <row r="42" spans="1:14" x14ac:dyDescent="0.25">
      <c r="A42" s="14" t="s">
        <v>108</v>
      </c>
      <c r="B42" s="15" t="s">
        <v>109</v>
      </c>
      <c r="C42" s="14" t="s">
        <v>110</v>
      </c>
      <c r="D42" s="14" t="s">
        <v>284</v>
      </c>
      <c r="E42" s="14">
        <v>19</v>
      </c>
      <c r="F42" s="14">
        <v>62</v>
      </c>
      <c r="G42" s="14" t="s">
        <v>39</v>
      </c>
      <c r="H42" s="14">
        <v>100</v>
      </c>
      <c r="I42" s="14" t="s">
        <v>27</v>
      </c>
      <c r="J42" s="14">
        <v>100</v>
      </c>
      <c r="K42" s="14">
        <v>60</v>
      </c>
      <c r="L42" s="14">
        <v>85</v>
      </c>
      <c r="M42" s="14">
        <v>70</v>
      </c>
      <c r="N42" s="14">
        <v>25</v>
      </c>
    </row>
    <row r="43" spans="1:14" x14ac:dyDescent="0.25">
      <c r="A43" s="14" t="s">
        <v>181</v>
      </c>
      <c r="B43" s="15" t="s">
        <v>182</v>
      </c>
      <c r="C43" s="14" t="s">
        <v>162</v>
      </c>
      <c r="D43" s="14"/>
      <c r="E43" s="14">
        <v>91</v>
      </c>
      <c r="F43" s="14">
        <v>64</v>
      </c>
      <c r="G43" s="14" t="s">
        <v>39</v>
      </c>
      <c r="H43" s="14">
        <v>40</v>
      </c>
      <c r="I43" s="14">
        <v>98</v>
      </c>
      <c r="J43" s="14">
        <v>100</v>
      </c>
      <c r="K43" s="14">
        <v>30</v>
      </c>
      <c r="L43" s="14">
        <v>85</v>
      </c>
      <c r="M43" s="14">
        <v>70</v>
      </c>
      <c r="N43" s="14">
        <v>100</v>
      </c>
    </row>
    <row r="44" spans="1:14" x14ac:dyDescent="0.25">
      <c r="A44" s="14" t="s">
        <v>70</v>
      </c>
      <c r="B44" s="15" t="s">
        <v>71</v>
      </c>
      <c r="C44" s="14" t="s">
        <v>72</v>
      </c>
      <c r="D44" s="14"/>
      <c r="E44" s="14">
        <v>94</v>
      </c>
      <c r="F44" s="14">
        <v>64.099999999999994</v>
      </c>
      <c r="G44" s="14" t="s">
        <v>39</v>
      </c>
      <c r="H44" s="14">
        <v>70</v>
      </c>
      <c r="I44" s="14">
        <v>98</v>
      </c>
      <c r="J44" s="14" t="s">
        <v>27</v>
      </c>
      <c r="K44" s="14">
        <v>60</v>
      </c>
      <c r="L44" s="14">
        <v>50</v>
      </c>
      <c r="M44" s="14">
        <v>25</v>
      </c>
      <c r="N44" s="14">
        <v>100</v>
      </c>
    </row>
    <row r="45" spans="1:14" x14ac:dyDescent="0.25">
      <c r="A45" s="14" t="s">
        <v>98</v>
      </c>
      <c r="B45" s="15" t="s">
        <v>99</v>
      </c>
      <c r="C45" s="14" t="s">
        <v>72</v>
      </c>
      <c r="D45" s="14"/>
      <c r="E45" s="14">
        <v>66</v>
      </c>
      <c r="F45" s="14">
        <v>64.2</v>
      </c>
      <c r="G45" s="14" t="s">
        <v>39</v>
      </c>
      <c r="H45" s="14">
        <v>100</v>
      </c>
      <c r="I45" s="14">
        <v>100</v>
      </c>
      <c r="J45" s="14">
        <v>100</v>
      </c>
      <c r="K45" s="14">
        <v>50</v>
      </c>
      <c r="L45" s="14">
        <v>85</v>
      </c>
      <c r="M45" s="14">
        <v>70</v>
      </c>
      <c r="N45" s="14">
        <v>50</v>
      </c>
    </row>
    <row r="46" spans="1:14" x14ac:dyDescent="0.25">
      <c r="A46" s="4" t="s">
        <v>152</v>
      </c>
      <c r="B46" s="16" t="s">
        <v>153</v>
      </c>
      <c r="C46" s="4" t="s">
        <v>123</v>
      </c>
      <c r="D46" s="4"/>
      <c r="E46" s="4">
        <v>54</v>
      </c>
      <c r="F46" s="4">
        <v>65.2</v>
      </c>
      <c r="G46" s="4" t="s">
        <v>41</v>
      </c>
      <c r="H46" s="4">
        <v>100</v>
      </c>
      <c r="I46" s="4">
        <v>100</v>
      </c>
      <c r="J46" s="4">
        <v>100</v>
      </c>
      <c r="K46" s="4">
        <v>65</v>
      </c>
      <c r="L46" s="4">
        <v>85</v>
      </c>
      <c r="M46" s="4">
        <v>70</v>
      </c>
      <c r="N46" s="4">
        <v>25</v>
      </c>
    </row>
    <row r="47" spans="1:14" x14ac:dyDescent="0.25">
      <c r="A47" s="4" t="s">
        <v>84</v>
      </c>
      <c r="B47" s="16" t="s">
        <v>85</v>
      </c>
      <c r="C47" s="4" t="s">
        <v>72</v>
      </c>
      <c r="D47" s="4"/>
      <c r="E47" s="4">
        <v>57</v>
      </c>
      <c r="F47" s="4">
        <v>65.900000000000006</v>
      </c>
      <c r="G47" s="4" t="s">
        <v>41</v>
      </c>
      <c r="H47" s="4">
        <v>100</v>
      </c>
      <c r="I47" s="4">
        <v>100</v>
      </c>
      <c r="J47" s="4" t="s">
        <v>27</v>
      </c>
      <c r="K47" s="4">
        <v>65</v>
      </c>
      <c r="L47" s="4">
        <v>90</v>
      </c>
      <c r="M47" s="4">
        <v>70</v>
      </c>
      <c r="N47" s="4">
        <v>25</v>
      </c>
    </row>
    <row r="48" spans="1:14" x14ac:dyDescent="0.25">
      <c r="A48" s="4" t="s">
        <v>210</v>
      </c>
      <c r="B48" s="16" t="s">
        <v>211</v>
      </c>
      <c r="C48" s="4" t="s">
        <v>205</v>
      </c>
      <c r="D48" s="4"/>
      <c r="E48" s="4">
        <v>77</v>
      </c>
      <c r="F48" s="4">
        <v>67.099999999999994</v>
      </c>
      <c r="G48" s="4" t="s">
        <v>41</v>
      </c>
      <c r="H48" s="4">
        <v>100</v>
      </c>
      <c r="I48" s="4">
        <v>100</v>
      </c>
      <c r="J48" s="4">
        <v>100</v>
      </c>
      <c r="K48" s="4">
        <v>90</v>
      </c>
      <c r="L48" s="4">
        <v>35</v>
      </c>
      <c r="M48" s="4">
        <v>70</v>
      </c>
      <c r="N48" s="4">
        <v>85</v>
      </c>
    </row>
    <row r="49" spans="1:14" x14ac:dyDescent="0.25">
      <c r="A49" s="4" t="s">
        <v>124</v>
      </c>
      <c r="B49" s="16" t="s">
        <v>125</v>
      </c>
      <c r="C49" s="4" t="s">
        <v>123</v>
      </c>
      <c r="D49" s="4"/>
      <c r="E49" s="4">
        <v>67</v>
      </c>
      <c r="F49" s="4">
        <v>67.7</v>
      </c>
      <c r="G49" s="4" t="s">
        <v>41</v>
      </c>
      <c r="H49" s="4">
        <v>100</v>
      </c>
      <c r="I49" s="4">
        <v>100</v>
      </c>
      <c r="J49" s="4">
        <v>100</v>
      </c>
      <c r="K49" s="4">
        <v>65</v>
      </c>
      <c r="L49" s="4">
        <v>70</v>
      </c>
      <c r="M49" s="4">
        <v>70</v>
      </c>
      <c r="N49" s="4">
        <v>50</v>
      </c>
    </row>
    <row r="50" spans="1:14" x14ac:dyDescent="0.25">
      <c r="A50" s="4" t="s">
        <v>203</v>
      </c>
      <c r="B50" s="16" t="s">
        <v>204</v>
      </c>
      <c r="C50" s="4" t="s">
        <v>205</v>
      </c>
      <c r="D50" s="4"/>
      <c r="E50" s="4">
        <v>65</v>
      </c>
      <c r="F50" s="4">
        <v>68.400000000000006</v>
      </c>
      <c r="G50" s="4" t="s">
        <v>41</v>
      </c>
      <c r="H50" s="4">
        <v>100</v>
      </c>
      <c r="I50" s="4">
        <v>100</v>
      </c>
      <c r="J50" s="4">
        <v>100</v>
      </c>
      <c r="K50" s="4">
        <v>90</v>
      </c>
      <c r="L50" s="4">
        <v>50</v>
      </c>
      <c r="M50" s="4">
        <v>90</v>
      </c>
      <c r="N50" s="4">
        <v>50</v>
      </c>
    </row>
    <row r="51" spans="1:14" x14ac:dyDescent="0.25">
      <c r="A51" s="4" t="s">
        <v>212</v>
      </c>
      <c r="B51" s="16" t="s">
        <v>213</v>
      </c>
      <c r="C51" s="4" t="s">
        <v>205</v>
      </c>
      <c r="D51" s="4"/>
      <c r="E51" s="4">
        <v>69</v>
      </c>
      <c r="F51" s="4">
        <v>68.400000000000006</v>
      </c>
      <c r="G51" s="4" t="s">
        <v>41</v>
      </c>
      <c r="H51" s="4">
        <v>100</v>
      </c>
      <c r="I51" s="4">
        <v>100</v>
      </c>
      <c r="J51" s="4">
        <v>100</v>
      </c>
      <c r="K51" s="4">
        <v>90</v>
      </c>
      <c r="L51" s="4">
        <v>50</v>
      </c>
      <c r="M51" s="4">
        <v>90</v>
      </c>
      <c r="N51" s="4">
        <v>50</v>
      </c>
    </row>
    <row r="52" spans="1:14" x14ac:dyDescent="0.25">
      <c r="A52" s="4" t="s">
        <v>156</v>
      </c>
      <c r="B52" s="16" t="s">
        <v>157</v>
      </c>
      <c r="C52" s="4" t="s">
        <v>123</v>
      </c>
      <c r="D52" s="4"/>
      <c r="E52" s="4">
        <v>60</v>
      </c>
      <c r="F52" s="4">
        <v>68.7</v>
      </c>
      <c r="G52" s="4" t="s">
        <v>41</v>
      </c>
      <c r="H52" s="4">
        <v>100</v>
      </c>
      <c r="I52" s="4">
        <v>100</v>
      </c>
      <c r="J52" s="4">
        <v>100</v>
      </c>
      <c r="K52" s="4">
        <v>80</v>
      </c>
      <c r="L52" s="4">
        <v>85</v>
      </c>
      <c r="M52" s="4">
        <v>70</v>
      </c>
      <c r="N52" s="4">
        <v>25</v>
      </c>
    </row>
    <row r="53" spans="1:14" x14ac:dyDescent="0.25">
      <c r="A53" s="4" t="s">
        <v>229</v>
      </c>
      <c r="B53" s="16" t="s">
        <v>230</v>
      </c>
      <c r="C53" s="4" t="s">
        <v>205</v>
      </c>
      <c r="D53" s="4"/>
      <c r="E53" s="4">
        <v>73</v>
      </c>
      <c r="F53" s="4">
        <v>69.400000000000006</v>
      </c>
      <c r="G53" s="4" t="s">
        <v>41</v>
      </c>
      <c r="H53" s="4">
        <v>100</v>
      </c>
      <c r="I53" s="4">
        <v>100</v>
      </c>
      <c r="J53" s="4">
        <v>100</v>
      </c>
      <c r="K53" s="4">
        <v>90</v>
      </c>
      <c r="L53" s="4">
        <v>50</v>
      </c>
      <c r="M53" s="4">
        <v>70</v>
      </c>
      <c r="N53" s="4">
        <v>70</v>
      </c>
    </row>
    <row r="54" spans="1:14" x14ac:dyDescent="0.25">
      <c r="A54" s="4" t="s">
        <v>132</v>
      </c>
      <c r="B54" s="16" t="s">
        <v>133</v>
      </c>
      <c r="C54" s="4" t="s">
        <v>123</v>
      </c>
      <c r="D54" s="4"/>
      <c r="E54" s="4">
        <v>66</v>
      </c>
      <c r="F54" s="4">
        <v>69.7</v>
      </c>
      <c r="G54" s="4" t="s">
        <v>41</v>
      </c>
      <c r="H54" s="4">
        <v>100</v>
      </c>
      <c r="I54" s="4">
        <v>100</v>
      </c>
      <c r="J54" s="4">
        <v>100</v>
      </c>
      <c r="K54" s="4">
        <v>60</v>
      </c>
      <c r="L54" s="4">
        <v>80</v>
      </c>
      <c r="M54" s="4">
        <v>90</v>
      </c>
      <c r="N54" s="4">
        <v>50</v>
      </c>
    </row>
    <row r="55" spans="1:14" x14ac:dyDescent="0.25">
      <c r="A55" s="4" t="s">
        <v>208</v>
      </c>
      <c r="B55" s="16" t="s">
        <v>209</v>
      </c>
      <c r="C55" s="4" t="s">
        <v>205</v>
      </c>
      <c r="D55" s="4"/>
      <c r="E55" s="4">
        <v>80</v>
      </c>
      <c r="F55" s="4">
        <v>72.900000000000006</v>
      </c>
      <c r="G55" s="4" t="s">
        <v>41</v>
      </c>
      <c r="H55" s="4">
        <v>95</v>
      </c>
      <c r="I55" s="4">
        <v>100</v>
      </c>
      <c r="J55" s="4">
        <v>100</v>
      </c>
      <c r="K55" s="4">
        <v>60</v>
      </c>
      <c r="L55" s="4">
        <v>50</v>
      </c>
      <c r="M55" s="4">
        <v>70</v>
      </c>
      <c r="N55" s="4">
        <v>100</v>
      </c>
    </row>
    <row r="56" spans="1:14" x14ac:dyDescent="0.25">
      <c r="A56" s="4" t="s">
        <v>169</v>
      </c>
      <c r="B56" s="16" t="s">
        <v>170</v>
      </c>
      <c r="C56" s="4" t="s">
        <v>162</v>
      </c>
      <c r="D56" s="4"/>
      <c r="E56" s="4">
        <v>75</v>
      </c>
      <c r="F56" s="4">
        <v>73.2</v>
      </c>
      <c r="G56" s="4" t="s">
        <v>41</v>
      </c>
      <c r="H56" s="4">
        <v>95</v>
      </c>
      <c r="I56" s="4">
        <v>100</v>
      </c>
      <c r="J56" s="4">
        <v>100</v>
      </c>
      <c r="K56" s="4">
        <v>80</v>
      </c>
      <c r="L56" s="4">
        <v>55</v>
      </c>
      <c r="M56" s="4">
        <v>70</v>
      </c>
      <c r="N56" s="4">
        <v>85</v>
      </c>
    </row>
    <row r="57" spans="1:14" x14ac:dyDescent="0.25">
      <c r="A57" s="4" t="s">
        <v>117</v>
      </c>
      <c r="B57" s="16" t="s">
        <v>118</v>
      </c>
      <c r="C57" s="4" t="s">
        <v>110</v>
      </c>
      <c r="D57" s="4" t="s">
        <v>284</v>
      </c>
      <c r="E57" s="4">
        <v>96</v>
      </c>
      <c r="F57" s="4">
        <v>73.400000000000006</v>
      </c>
      <c r="G57" s="4" t="s">
        <v>41</v>
      </c>
      <c r="H57" s="4">
        <v>100</v>
      </c>
      <c r="I57" s="4" t="s">
        <v>27</v>
      </c>
      <c r="J57" s="4">
        <v>100</v>
      </c>
      <c r="K57" s="4">
        <v>50</v>
      </c>
      <c r="L57" s="4">
        <v>85</v>
      </c>
      <c r="M57" s="4">
        <v>70</v>
      </c>
      <c r="N57" s="4">
        <v>100</v>
      </c>
    </row>
    <row r="58" spans="1:14" x14ac:dyDescent="0.25">
      <c r="A58" s="4" t="s">
        <v>160</v>
      </c>
      <c r="B58" s="16" t="s">
        <v>161</v>
      </c>
      <c r="C58" s="4" t="s">
        <v>162</v>
      </c>
      <c r="D58" s="4" t="s">
        <v>284</v>
      </c>
      <c r="E58" s="4">
        <v>88</v>
      </c>
      <c r="F58" s="4">
        <v>73.7</v>
      </c>
      <c r="G58" s="4" t="s">
        <v>41</v>
      </c>
      <c r="H58" s="4">
        <v>100</v>
      </c>
      <c r="I58" s="4">
        <v>100</v>
      </c>
      <c r="J58" s="4">
        <v>100</v>
      </c>
      <c r="K58" s="4">
        <v>90</v>
      </c>
      <c r="L58" s="4">
        <v>50</v>
      </c>
      <c r="M58" s="4">
        <v>70</v>
      </c>
      <c r="N58" s="4">
        <v>100</v>
      </c>
    </row>
    <row r="59" spans="1:14" x14ac:dyDescent="0.25">
      <c r="A59" s="4" t="s">
        <v>138</v>
      </c>
      <c r="B59" s="16" t="s">
        <v>139</v>
      </c>
      <c r="C59" s="4" t="s">
        <v>123</v>
      </c>
      <c r="D59" s="4"/>
      <c r="E59" s="4">
        <v>72</v>
      </c>
      <c r="F59" s="4">
        <v>74.7</v>
      </c>
      <c r="G59" s="4" t="s">
        <v>41</v>
      </c>
      <c r="H59" s="4">
        <v>100</v>
      </c>
      <c r="I59" s="4">
        <v>100</v>
      </c>
      <c r="J59" s="4">
        <v>100</v>
      </c>
      <c r="K59" s="4">
        <v>90</v>
      </c>
      <c r="L59" s="4">
        <v>65</v>
      </c>
      <c r="M59" s="4">
        <v>70</v>
      </c>
      <c r="N59" s="4">
        <v>70</v>
      </c>
    </row>
    <row r="60" spans="1:14" x14ac:dyDescent="0.25">
      <c r="A60" s="4" t="s">
        <v>227</v>
      </c>
      <c r="B60" s="16" t="s">
        <v>228</v>
      </c>
      <c r="C60" s="4" t="s">
        <v>205</v>
      </c>
      <c r="D60" s="4"/>
      <c r="E60" s="4">
        <v>87</v>
      </c>
      <c r="F60" s="4">
        <v>77.7</v>
      </c>
      <c r="G60" s="4" t="s">
        <v>41</v>
      </c>
      <c r="H60" s="4">
        <v>100</v>
      </c>
      <c r="I60" s="4">
        <v>100</v>
      </c>
      <c r="J60" s="4">
        <v>100</v>
      </c>
      <c r="K60" s="4">
        <v>65</v>
      </c>
      <c r="L60" s="4">
        <v>65</v>
      </c>
      <c r="M60" s="4">
        <v>70</v>
      </c>
      <c r="N60" s="4">
        <v>100</v>
      </c>
    </row>
    <row r="61" spans="1:14" x14ac:dyDescent="0.25">
      <c r="A61" s="4" t="s">
        <v>128</v>
      </c>
      <c r="B61" s="16" t="s">
        <v>129</v>
      </c>
      <c r="C61" s="4" t="s">
        <v>123</v>
      </c>
      <c r="D61" s="4"/>
      <c r="E61" s="4">
        <v>71</v>
      </c>
      <c r="F61" s="4">
        <v>78.5</v>
      </c>
      <c r="G61" s="4" t="s">
        <v>41</v>
      </c>
      <c r="H61" s="4">
        <v>100</v>
      </c>
      <c r="I61" s="4">
        <v>100</v>
      </c>
      <c r="J61" s="4">
        <v>100</v>
      </c>
      <c r="K61" s="4">
        <v>90</v>
      </c>
      <c r="L61" s="4">
        <v>85</v>
      </c>
      <c r="M61" s="4">
        <v>50</v>
      </c>
      <c r="N61" s="4">
        <v>70</v>
      </c>
    </row>
    <row r="62" spans="1:14" x14ac:dyDescent="0.25">
      <c r="A62" s="17" t="s">
        <v>92</v>
      </c>
      <c r="B62" s="18" t="s">
        <v>93</v>
      </c>
      <c r="C62" s="17" t="s">
        <v>72</v>
      </c>
      <c r="D62" s="17"/>
      <c r="E62" s="17">
        <v>88</v>
      </c>
      <c r="F62" s="17">
        <v>81.5</v>
      </c>
      <c r="G62" s="17" t="s">
        <v>43</v>
      </c>
      <c r="H62" s="17">
        <v>70</v>
      </c>
      <c r="I62" s="17">
        <v>100</v>
      </c>
      <c r="J62" s="17">
        <v>100</v>
      </c>
      <c r="K62" s="17">
        <v>90</v>
      </c>
      <c r="L62" s="17">
        <v>85</v>
      </c>
      <c r="M62" s="17">
        <v>70</v>
      </c>
      <c r="N62" s="17">
        <v>100</v>
      </c>
    </row>
    <row r="63" spans="1:14" x14ac:dyDescent="0.25">
      <c r="A63" s="17" t="s">
        <v>220</v>
      </c>
      <c r="B63" s="18" t="s">
        <v>221</v>
      </c>
      <c r="C63" s="17" t="s">
        <v>205</v>
      </c>
      <c r="D63" s="17"/>
      <c r="E63" s="17">
        <v>87</v>
      </c>
      <c r="F63" s="17">
        <v>81.900000000000006</v>
      </c>
      <c r="G63" s="17" t="s">
        <v>43</v>
      </c>
      <c r="H63" s="17">
        <v>100</v>
      </c>
      <c r="I63" s="17">
        <v>100</v>
      </c>
      <c r="J63" s="17">
        <v>100</v>
      </c>
      <c r="K63" s="17">
        <v>90</v>
      </c>
      <c r="L63" s="17">
        <v>65</v>
      </c>
      <c r="M63" s="17">
        <v>90</v>
      </c>
      <c r="N63" s="17">
        <v>100</v>
      </c>
    </row>
    <row r="64" spans="1:14" x14ac:dyDescent="0.25">
      <c r="A64" s="17" t="s">
        <v>154</v>
      </c>
      <c r="B64" s="18" t="s">
        <v>155</v>
      </c>
      <c r="C64" s="17" t="s">
        <v>123</v>
      </c>
      <c r="D64" s="17"/>
      <c r="E64" s="17">
        <v>92</v>
      </c>
      <c r="F64" s="17">
        <v>82.2</v>
      </c>
      <c r="G64" s="17" t="s">
        <v>43</v>
      </c>
      <c r="H64" s="17">
        <v>95</v>
      </c>
      <c r="I64" s="17">
        <v>100</v>
      </c>
      <c r="J64" s="17">
        <v>100</v>
      </c>
      <c r="K64" s="17">
        <v>80</v>
      </c>
      <c r="L64" s="17">
        <v>65</v>
      </c>
      <c r="M64" s="17">
        <v>90</v>
      </c>
      <c r="N64" s="17">
        <v>100</v>
      </c>
    </row>
    <row r="65" spans="1:14" x14ac:dyDescent="0.25">
      <c r="A65" s="17" t="s">
        <v>179</v>
      </c>
      <c r="B65" s="18" t="s">
        <v>180</v>
      </c>
      <c r="C65" s="17" t="s">
        <v>162</v>
      </c>
      <c r="D65" s="17"/>
      <c r="E65" s="17">
        <v>88</v>
      </c>
      <c r="F65" s="17">
        <v>82.5</v>
      </c>
      <c r="G65" s="17" t="s">
        <v>43</v>
      </c>
      <c r="H65" s="17">
        <v>100</v>
      </c>
      <c r="I65" s="17">
        <v>100</v>
      </c>
      <c r="J65" s="17">
        <v>100</v>
      </c>
      <c r="K65" s="17">
        <v>80</v>
      </c>
      <c r="L65" s="17">
        <v>85</v>
      </c>
      <c r="M65" s="17">
        <v>50</v>
      </c>
      <c r="N65" s="17">
        <v>100</v>
      </c>
    </row>
    <row r="66" spans="1:14" x14ac:dyDescent="0.25">
      <c r="A66" s="17" t="s">
        <v>113</v>
      </c>
      <c r="B66" s="18" t="s">
        <v>114</v>
      </c>
      <c r="C66" s="17" t="s">
        <v>110</v>
      </c>
      <c r="D66" s="17" t="s">
        <v>284</v>
      </c>
      <c r="E66" s="17">
        <v>75</v>
      </c>
      <c r="F66" s="17">
        <v>84.3</v>
      </c>
      <c r="G66" s="17" t="s">
        <v>43</v>
      </c>
      <c r="H66" s="17">
        <v>100</v>
      </c>
      <c r="I66" s="17" t="s">
        <v>27</v>
      </c>
      <c r="J66" s="17">
        <v>100</v>
      </c>
      <c r="K66" s="17">
        <v>80</v>
      </c>
      <c r="L66" s="17">
        <v>85</v>
      </c>
      <c r="M66" s="17">
        <v>90</v>
      </c>
      <c r="N66" s="17">
        <v>85</v>
      </c>
    </row>
    <row r="67" spans="1:14" x14ac:dyDescent="0.25">
      <c r="A67" s="17" t="s">
        <v>214</v>
      </c>
      <c r="B67" s="18" t="s">
        <v>215</v>
      </c>
      <c r="C67" s="17" t="s">
        <v>205</v>
      </c>
      <c r="D67" s="17"/>
      <c r="E67" s="17">
        <v>70</v>
      </c>
      <c r="F67" s="17">
        <v>84.5</v>
      </c>
      <c r="G67" s="17" t="s">
        <v>43</v>
      </c>
      <c r="H67" s="17">
        <v>100</v>
      </c>
      <c r="I67" s="17">
        <v>100</v>
      </c>
      <c r="J67" s="17">
        <v>100</v>
      </c>
      <c r="K67" s="17">
        <v>90</v>
      </c>
      <c r="L67" s="17">
        <v>85</v>
      </c>
      <c r="M67" s="17">
        <v>90</v>
      </c>
      <c r="N67" s="17">
        <v>70</v>
      </c>
    </row>
    <row r="68" spans="1:14" x14ac:dyDescent="0.25">
      <c r="A68" s="17" t="s">
        <v>185</v>
      </c>
      <c r="B68" s="18" t="s">
        <v>186</v>
      </c>
      <c r="C68" s="17" t="s">
        <v>162</v>
      </c>
      <c r="D68" s="17"/>
      <c r="E68" s="17">
        <v>77</v>
      </c>
      <c r="F68" s="17">
        <v>85.1</v>
      </c>
      <c r="G68" s="17" t="s">
        <v>43</v>
      </c>
      <c r="H68" s="17">
        <v>95</v>
      </c>
      <c r="I68" s="17">
        <v>100</v>
      </c>
      <c r="J68" s="17" t="s">
        <v>27</v>
      </c>
      <c r="K68" s="17">
        <v>90</v>
      </c>
      <c r="L68" s="17">
        <v>85</v>
      </c>
      <c r="M68" s="17">
        <v>90</v>
      </c>
      <c r="N68" s="17">
        <v>85</v>
      </c>
    </row>
    <row r="69" spans="1:14" x14ac:dyDescent="0.25">
      <c r="A69" s="17" t="s">
        <v>183</v>
      </c>
      <c r="B69" s="18" t="s">
        <v>184</v>
      </c>
      <c r="C69" s="17" t="s">
        <v>162</v>
      </c>
      <c r="D69" s="17"/>
      <c r="E69" s="17">
        <v>80</v>
      </c>
      <c r="F69" s="17">
        <v>85.5</v>
      </c>
      <c r="G69" s="17" t="s">
        <v>43</v>
      </c>
      <c r="H69" s="17">
        <v>100</v>
      </c>
      <c r="I69" s="17">
        <v>100</v>
      </c>
      <c r="J69" s="17">
        <v>100</v>
      </c>
      <c r="K69" s="17">
        <v>80</v>
      </c>
      <c r="L69" s="17">
        <v>85</v>
      </c>
      <c r="M69" s="17">
        <v>70</v>
      </c>
      <c r="N69" s="17">
        <v>100</v>
      </c>
    </row>
    <row r="70" spans="1:14" x14ac:dyDescent="0.25">
      <c r="A70" s="17" t="s">
        <v>134</v>
      </c>
      <c r="B70" s="18" t="s">
        <v>135</v>
      </c>
      <c r="C70" s="17" t="s">
        <v>123</v>
      </c>
      <c r="D70" s="17"/>
      <c r="E70" s="17">
        <v>96</v>
      </c>
      <c r="F70" s="17">
        <v>87.2</v>
      </c>
      <c r="G70" s="17" t="s">
        <v>43</v>
      </c>
      <c r="H70" s="17">
        <v>100</v>
      </c>
      <c r="I70" s="17">
        <v>100</v>
      </c>
      <c r="J70" s="17">
        <v>100</v>
      </c>
      <c r="K70" s="17">
        <v>90</v>
      </c>
      <c r="L70" s="17">
        <v>80</v>
      </c>
      <c r="M70" s="17">
        <v>90</v>
      </c>
      <c r="N70" s="17">
        <v>100</v>
      </c>
    </row>
    <row r="71" spans="1:14" x14ac:dyDescent="0.25">
      <c r="A71" s="17" t="s">
        <v>206</v>
      </c>
      <c r="B71" s="18" t="s">
        <v>207</v>
      </c>
      <c r="C71" s="17" t="s">
        <v>205</v>
      </c>
      <c r="D71" s="17"/>
      <c r="E71" s="17">
        <v>81</v>
      </c>
      <c r="F71" s="17">
        <v>87.5</v>
      </c>
      <c r="G71" s="17" t="s">
        <v>43</v>
      </c>
      <c r="H71" s="17">
        <v>100</v>
      </c>
      <c r="I71" s="17">
        <v>100</v>
      </c>
      <c r="J71" s="17">
        <v>100</v>
      </c>
      <c r="K71" s="17">
        <v>90</v>
      </c>
      <c r="L71" s="17">
        <v>85</v>
      </c>
      <c r="M71" s="17">
        <v>70</v>
      </c>
      <c r="N71" s="17">
        <v>100</v>
      </c>
    </row>
    <row r="72" spans="1:14" x14ac:dyDescent="0.25">
      <c r="A72" s="17" t="s">
        <v>231</v>
      </c>
      <c r="B72" s="18" t="s">
        <v>232</v>
      </c>
      <c r="C72" s="17" t="s">
        <v>205</v>
      </c>
      <c r="D72" s="17"/>
      <c r="E72" s="17">
        <v>80</v>
      </c>
      <c r="F72" s="17">
        <v>87.5</v>
      </c>
      <c r="G72" s="17" t="s">
        <v>43</v>
      </c>
      <c r="H72" s="17">
        <v>100</v>
      </c>
      <c r="I72" s="17">
        <v>100</v>
      </c>
      <c r="J72" s="17">
        <v>100</v>
      </c>
      <c r="K72" s="17">
        <v>90</v>
      </c>
      <c r="L72" s="17">
        <v>85</v>
      </c>
      <c r="M72" s="17">
        <v>70</v>
      </c>
      <c r="N72" s="17">
        <v>100</v>
      </c>
    </row>
    <row r="73" spans="1:14" x14ac:dyDescent="0.25">
      <c r="A73" s="17" t="s">
        <v>88</v>
      </c>
      <c r="B73" s="18" t="s">
        <v>89</v>
      </c>
      <c r="C73" s="17" t="s">
        <v>72</v>
      </c>
      <c r="D73" s="17"/>
      <c r="E73" s="17">
        <v>83</v>
      </c>
      <c r="F73" s="17">
        <v>87.7</v>
      </c>
      <c r="G73" s="17" t="s">
        <v>43</v>
      </c>
      <c r="H73" s="17">
        <v>100</v>
      </c>
      <c r="I73" s="17">
        <v>100</v>
      </c>
      <c r="J73" s="17">
        <v>100</v>
      </c>
      <c r="K73" s="17">
        <v>80</v>
      </c>
      <c r="L73" s="17">
        <v>85</v>
      </c>
      <c r="M73" s="17">
        <v>90</v>
      </c>
      <c r="N73" s="17">
        <v>100</v>
      </c>
    </row>
    <row r="74" spans="1:14" x14ac:dyDescent="0.25">
      <c r="A74" s="17"/>
      <c r="B74" s="18" t="s">
        <v>198</v>
      </c>
      <c r="C74" s="17" t="s">
        <v>162</v>
      </c>
      <c r="D74" s="17"/>
      <c r="E74" s="17">
        <v>80</v>
      </c>
      <c r="F74" s="17">
        <v>88.7</v>
      </c>
      <c r="G74" s="17" t="s">
        <v>43</v>
      </c>
      <c r="H74" s="17">
        <v>100</v>
      </c>
      <c r="I74" s="17">
        <v>100</v>
      </c>
      <c r="J74" s="17">
        <v>100</v>
      </c>
      <c r="K74" s="17">
        <v>90</v>
      </c>
      <c r="L74" s="17">
        <v>85</v>
      </c>
      <c r="M74" s="17">
        <v>90</v>
      </c>
      <c r="N74" s="17">
        <v>100</v>
      </c>
    </row>
    <row r="75" spans="1:14" x14ac:dyDescent="0.25">
      <c r="A75" s="17" t="s">
        <v>142</v>
      </c>
      <c r="B75" s="18" t="s">
        <v>143</v>
      </c>
      <c r="C75" s="17" t="s">
        <v>123</v>
      </c>
      <c r="D75" s="17"/>
      <c r="E75" s="17">
        <v>80</v>
      </c>
      <c r="F75" s="17">
        <v>89</v>
      </c>
      <c r="G75" s="17" t="s">
        <v>43</v>
      </c>
      <c r="H75" s="17">
        <v>100</v>
      </c>
      <c r="I75" s="17">
        <v>100</v>
      </c>
      <c r="J75" s="17">
        <v>100</v>
      </c>
      <c r="K75" s="17">
        <v>90</v>
      </c>
      <c r="L75" s="17">
        <v>80</v>
      </c>
      <c r="M75" s="17">
        <v>90</v>
      </c>
      <c r="N75" s="17">
        <v>100</v>
      </c>
    </row>
    <row r="76" spans="1:14" x14ac:dyDescent="0.25">
      <c r="A76" s="17" t="s">
        <v>216</v>
      </c>
      <c r="B76" s="18" t="s">
        <v>217</v>
      </c>
      <c r="C76" s="17" t="s">
        <v>205</v>
      </c>
      <c r="D76" s="17"/>
      <c r="E76" s="17">
        <v>85</v>
      </c>
      <c r="F76" s="17">
        <v>89</v>
      </c>
      <c r="G76" s="17" t="s">
        <v>43</v>
      </c>
      <c r="H76" s="17">
        <v>100</v>
      </c>
      <c r="I76" s="17">
        <v>100</v>
      </c>
      <c r="J76" s="17">
        <v>100</v>
      </c>
      <c r="K76" s="17">
        <v>90</v>
      </c>
      <c r="L76" s="17">
        <v>80</v>
      </c>
      <c r="M76" s="17">
        <v>90</v>
      </c>
      <c r="N76" s="17">
        <v>100</v>
      </c>
    </row>
    <row r="77" spans="1:14" x14ac:dyDescent="0.25">
      <c r="A77" s="17" t="s">
        <v>201</v>
      </c>
      <c r="B77" s="18" t="s">
        <v>202</v>
      </c>
      <c r="C77" s="17" t="s">
        <v>162</v>
      </c>
      <c r="D77" s="17"/>
      <c r="E77" s="17">
        <v>84</v>
      </c>
      <c r="F77" s="17">
        <v>89.4</v>
      </c>
      <c r="G77" s="17" t="s">
        <v>43</v>
      </c>
      <c r="H77" s="17">
        <v>100</v>
      </c>
      <c r="I77" s="17">
        <v>100</v>
      </c>
      <c r="J77" s="17" t="s">
        <v>27</v>
      </c>
      <c r="K77" s="17">
        <v>90</v>
      </c>
      <c r="L77" s="17">
        <v>85</v>
      </c>
      <c r="M77" s="17">
        <v>90</v>
      </c>
      <c r="N77" s="17">
        <v>100</v>
      </c>
    </row>
    <row r="78" spans="1:14" x14ac:dyDescent="0.25">
      <c r="A78" s="17" t="s">
        <v>196</v>
      </c>
      <c r="B78" s="18" t="s">
        <v>197</v>
      </c>
      <c r="C78" s="17" t="s">
        <v>162</v>
      </c>
      <c r="D78" s="17"/>
      <c r="E78" s="17">
        <v>87</v>
      </c>
      <c r="F78" s="17">
        <v>90.5</v>
      </c>
      <c r="G78" s="17" t="s">
        <v>43</v>
      </c>
      <c r="H78" s="17">
        <v>100</v>
      </c>
      <c r="I78" s="17">
        <v>100</v>
      </c>
      <c r="J78" s="17">
        <v>100</v>
      </c>
      <c r="K78" s="17">
        <v>90</v>
      </c>
      <c r="L78" s="17">
        <v>85</v>
      </c>
      <c r="M78" s="17">
        <v>90</v>
      </c>
      <c r="N78" s="17">
        <v>100</v>
      </c>
    </row>
    <row r="79" spans="1:14" x14ac:dyDescent="0.25">
      <c r="A79" s="17" t="s">
        <v>235</v>
      </c>
      <c r="B79" s="18" t="s">
        <v>236</v>
      </c>
      <c r="C79" s="17" t="s">
        <v>205</v>
      </c>
      <c r="D79" s="17"/>
      <c r="E79" s="17">
        <v>89</v>
      </c>
      <c r="F79" s="17">
        <v>90.5</v>
      </c>
      <c r="G79" s="17" t="s">
        <v>43</v>
      </c>
      <c r="H79" s="17">
        <v>100</v>
      </c>
      <c r="I79" s="17">
        <v>100</v>
      </c>
      <c r="J79" s="17">
        <v>100</v>
      </c>
      <c r="K79" s="17">
        <v>90</v>
      </c>
      <c r="L79" s="17">
        <v>85</v>
      </c>
      <c r="M79" s="17">
        <v>90</v>
      </c>
      <c r="N79" s="17">
        <v>100</v>
      </c>
    </row>
    <row r="80" spans="1:14" x14ac:dyDescent="0.25">
      <c r="A80" s="17" t="s">
        <v>144</v>
      </c>
      <c r="B80" s="18" t="s">
        <v>145</v>
      </c>
      <c r="C80" s="17" t="s">
        <v>123</v>
      </c>
      <c r="D80" s="17"/>
      <c r="E80" s="17">
        <v>82</v>
      </c>
      <c r="F80" s="17">
        <v>91.5</v>
      </c>
      <c r="G80" s="17" t="s">
        <v>43</v>
      </c>
      <c r="H80" s="17">
        <v>100</v>
      </c>
      <c r="I80" s="17">
        <v>100</v>
      </c>
      <c r="J80" s="17">
        <v>100</v>
      </c>
      <c r="K80" s="17">
        <v>90</v>
      </c>
      <c r="L80" s="17">
        <v>90</v>
      </c>
      <c r="M80" s="17">
        <v>90</v>
      </c>
      <c r="N80" s="17">
        <v>100</v>
      </c>
    </row>
    <row r="81" spans="1:14" x14ac:dyDescent="0.25">
      <c r="A81" s="17" t="s">
        <v>199</v>
      </c>
      <c r="B81" s="18" t="s">
        <v>200</v>
      </c>
      <c r="C81" s="17" t="s">
        <v>162</v>
      </c>
      <c r="D81" s="17"/>
      <c r="E81" s="17">
        <v>94</v>
      </c>
      <c r="F81" s="17">
        <v>91.5</v>
      </c>
      <c r="G81" s="17" t="s">
        <v>43</v>
      </c>
      <c r="H81" s="17">
        <v>100</v>
      </c>
      <c r="I81" s="17">
        <v>100</v>
      </c>
      <c r="J81" s="17">
        <v>100</v>
      </c>
      <c r="K81" s="17">
        <v>90</v>
      </c>
      <c r="L81" s="17">
        <v>90</v>
      </c>
      <c r="M81" s="17">
        <v>90</v>
      </c>
      <c r="N81" s="17">
        <v>100</v>
      </c>
    </row>
    <row r="82" spans="1:14" x14ac:dyDescent="0.25">
      <c r="A82" s="17" t="s">
        <v>224</v>
      </c>
      <c r="B82" s="18" t="s">
        <v>225</v>
      </c>
      <c r="C82" s="17" t="s">
        <v>205</v>
      </c>
      <c r="D82" s="17"/>
      <c r="E82" s="17">
        <v>91</v>
      </c>
      <c r="F82" s="17">
        <v>92.5</v>
      </c>
      <c r="G82" s="17" t="s">
        <v>43</v>
      </c>
      <c r="H82" s="17">
        <v>100</v>
      </c>
      <c r="I82" s="17">
        <v>100</v>
      </c>
      <c r="J82" s="17">
        <v>100</v>
      </c>
      <c r="K82" s="17">
        <v>90</v>
      </c>
      <c r="L82" s="17">
        <v>90</v>
      </c>
      <c r="M82" s="17">
        <v>90</v>
      </c>
      <c r="N82" s="17">
        <v>100</v>
      </c>
    </row>
    <row r="83" spans="1:14" x14ac:dyDescent="0.25">
      <c r="A83" s="17" t="s">
        <v>130</v>
      </c>
      <c r="B83" s="18" t="s">
        <v>131</v>
      </c>
      <c r="C83" s="17" t="s">
        <v>123</v>
      </c>
      <c r="D83" s="17"/>
      <c r="E83" s="17">
        <v>96</v>
      </c>
      <c r="F83" s="17">
        <v>93.2</v>
      </c>
      <c r="G83" s="17" t="s">
        <v>43</v>
      </c>
      <c r="H83" s="17">
        <v>100</v>
      </c>
      <c r="I83" s="17">
        <v>100</v>
      </c>
      <c r="J83" s="17">
        <v>100</v>
      </c>
      <c r="K83" s="17">
        <v>90</v>
      </c>
      <c r="L83" s="17">
        <v>90</v>
      </c>
      <c r="M83" s="17">
        <v>90</v>
      </c>
      <c r="N83" s="17">
        <v>100</v>
      </c>
    </row>
    <row r="84" spans="1:14" x14ac:dyDescent="0.25">
      <c r="A84" s="17" t="s">
        <v>175</v>
      </c>
      <c r="B84" s="18" t="s">
        <v>176</v>
      </c>
      <c r="C84" s="17" t="s">
        <v>162</v>
      </c>
      <c r="D84" s="17"/>
      <c r="E84" s="17">
        <v>88</v>
      </c>
      <c r="F84" s="17">
        <v>93.2</v>
      </c>
      <c r="G84" s="17" t="s">
        <v>43</v>
      </c>
      <c r="H84" s="17">
        <v>100</v>
      </c>
      <c r="I84" s="17">
        <v>100</v>
      </c>
      <c r="J84" s="17">
        <v>100</v>
      </c>
      <c r="K84" s="17">
        <v>90</v>
      </c>
      <c r="L84" s="17">
        <v>90</v>
      </c>
      <c r="M84" s="17">
        <v>90</v>
      </c>
      <c r="N84" s="17">
        <v>100</v>
      </c>
    </row>
    <row r="85" spans="1:14" x14ac:dyDescent="0.25">
      <c r="A85" s="17" t="s">
        <v>218</v>
      </c>
      <c r="B85" s="18" t="s">
        <v>219</v>
      </c>
      <c r="C85" s="17" t="s">
        <v>205</v>
      </c>
      <c r="D85" s="17"/>
      <c r="E85" s="17">
        <v>92</v>
      </c>
      <c r="F85" s="17">
        <v>93.2</v>
      </c>
      <c r="G85" s="17" t="s">
        <v>43</v>
      </c>
      <c r="H85" s="17">
        <v>100</v>
      </c>
      <c r="I85" s="17">
        <v>100</v>
      </c>
      <c r="J85" s="17">
        <v>100</v>
      </c>
      <c r="K85" s="17">
        <v>90</v>
      </c>
      <c r="L85" s="17">
        <v>90</v>
      </c>
      <c r="M85" s="17">
        <v>90</v>
      </c>
      <c r="N85" s="17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הגדרות</vt:lpstr>
      <vt:lpstr>תלמידים</vt:lpstr>
      <vt:lpstr>ציוני_בגרות</vt:lpstr>
      <vt:lpstr>ציוני_תעודה</vt:lpstr>
      <vt:lpstr>דוח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יעקב רפאל בודנב קדם</cp:lastModifiedBy>
  <dcterms:created xsi:type="dcterms:W3CDTF">2026-04-22T08:11:14Z</dcterms:created>
  <dcterms:modified xsi:type="dcterms:W3CDTF">2026-04-22T14:58:12Z</dcterms:modified>
</cp:coreProperties>
</file>